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hidePivotFieldList="1"/>
  <mc:AlternateContent xmlns:mc="http://schemas.openxmlformats.org/markup-compatibility/2006">
    <mc:Choice Requires="x15">
      <x15ac:absPath xmlns:x15ac="http://schemas.microsoft.com/office/spreadsheetml/2010/11/ac" url="C:\Users\Vishwam Aggarwal\OneDrive\Desktop\Finance minor\"/>
    </mc:Choice>
  </mc:AlternateContent>
  <xr:revisionPtr revIDLastSave="0" documentId="8_{20194E80-4733-42F4-9E7F-CC433AB7BEE8}" xr6:coauthVersionLast="47" xr6:coauthVersionMax="47" xr10:uidLastSave="{00000000-0000-0000-0000-000000000000}"/>
  <bookViews>
    <workbookView xWindow="-98" yWindow="-98" windowWidth="21795" windowHeight="12975" firstSheet="2" activeTab="4" xr2:uid="{00000000-000D-0000-FFFF-FFFF00000000}"/>
  </bookViews>
  <sheets>
    <sheet name="Group Members" sheetId="7" r:id="rId1"/>
    <sheet name="CAPM (Monthly) (Part-1)" sheetId="1" r:id="rId2"/>
    <sheet name="CAPM (Weekly) (Part-1)" sheetId="2" r:id="rId3"/>
    <sheet name="CAPM (Daily) (Part-1)" sheetId="3" r:id="rId4"/>
    <sheet name="Part-2 (Balance Sheet)" sheetId="4" r:id="rId5"/>
    <sheet name="Part-3"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90" i="4" l="1"/>
  <c r="I90" i="4"/>
  <c r="H90" i="4"/>
  <c r="G90" i="4"/>
  <c r="F90" i="4"/>
  <c r="E90" i="4"/>
  <c r="D90" i="4"/>
  <c r="C90" i="4"/>
  <c r="J82" i="4"/>
  <c r="I82" i="4"/>
  <c r="H82" i="4"/>
  <c r="G82" i="4"/>
  <c r="F82" i="4"/>
  <c r="E82" i="4"/>
  <c r="D82" i="4"/>
  <c r="C82" i="4"/>
  <c r="J78" i="4"/>
  <c r="I78" i="4"/>
  <c r="H78" i="4"/>
  <c r="G78" i="4"/>
  <c r="F78" i="4"/>
  <c r="E78" i="4"/>
  <c r="D78" i="4"/>
  <c r="C78" i="4"/>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D907" i="3"/>
  <c r="D908" i="3"/>
  <c r="D909" i="3"/>
  <c r="D910" i="3"/>
  <c r="D911" i="3"/>
  <c r="D912" i="3"/>
  <c r="D913"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802" i="3"/>
  <c r="D803" i="3"/>
  <c r="D804" i="3"/>
  <c r="D805" i="3"/>
  <c r="D806" i="3"/>
  <c r="D807" i="3"/>
  <c r="D808" i="3"/>
  <c r="D809" i="3"/>
  <c r="D810" i="3"/>
  <c r="D811" i="3"/>
  <c r="D812" i="3"/>
  <c r="D813" i="3"/>
  <c r="D814" i="3"/>
  <c r="D815" i="3"/>
  <c r="D816" i="3"/>
  <c r="D817" i="3"/>
  <c r="D818" i="3"/>
  <c r="D819" i="3"/>
  <c r="D820" i="3"/>
  <c r="D821" i="3"/>
  <c r="D822" i="3"/>
  <c r="D823" i="3"/>
  <c r="D824" i="3"/>
  <c r="D825" i="3"/>
  <c r="D826" i="3"/>
  <c r="D827" i="3"/>
  <c r="D828" i="3"/>
  <c r="D829" i="3"/>
  <c r="D830" i="3"/>
  <c r="D831" i="3"/>
  <c r="D832" i="3"/>
  <c r="D833" i="3"/>
  <c r="D834" i="3"/>
  <c r="D835" i="3"/>
  <c r="D836" i="3"/>
  <c r="D837" i="3"/>
  <c r="D838" i="3"/>
  <c r="D839" i="3"/>
  <c r="D840" i="3"/>
  <c r="D841" i="3"/>
  <c r="D842" i="3"/>
  <c r="D843" i="3"/>
  <c r="D844" i="3"/>
  <c r="D845" i="3"/>
  <c r="D846" i="3"/>
  <c r="D847" i="3"/>
  <c r="D848" i="3"/>
  <c r="D849" i="3"/>
  <c r="D850" i="3"/>
  <c r="D851" i="3"/>
  <c r="D852" i="3"/>
  <c r="D853" i="3"/>
  <c r="D854" i="3"/>
  <c r="D855" i="3"/>
  <c r="D856" i="3"/>
  <c r="D857" i="3"/>
  <c r="D858" i="3"/>
  <c r="D859" i="3"/>
  <c r="D860" i="3"/>
  <c r="D861" i="3"/>
  <c r="D862" i="3"/>
  <c r="D863" i="3"/>
  <c r="D864" i="3"/>
  <c r="D865" i="3"/>
  <c r="D866" i="3"/>
  <c r="D867" i="3"/>
  <c r="D868" i="3"/>
  <c r="D869" i="3"/>
  <c r="D870" i="3"/>
  <c r="D871" i="3"/>
  <c r="D872" i="3"/>
  <c r="D873" i="3"/>
  <c r="D874" i="3"/>
  <c r="D875" i="3"/>
  <c r="D876" i="3"/>
  <c r="D877" i="3"/>
  <c r="D878" i="3"/>
  <c r="D879" i="3"/>
  <c r="D880" i="3"/>
  <c r="D881" i="3"/>
  <c r="D882" i="3"/>
  <c r="D883" i="3"/>
  <c r="D884" i="3"/>
  <c r="D885" i="3"/>
  <c r="D886" i="3"/>
  <c r="D887" i="3"/>
  <c r="D888" i="3"/>
  <c r="D889" i="3"/>
  <c r="D890" i="3"/>
  <c r="D891" i="3"/>
  <c r="D892" i="3"/>
  <c r="D893" i="3"/>
  <c r="D894" i="3"/>
  <c r="D895" i="3"/>
  <c r="D896" i="3"/>
  <c r="D897" i="3"/>
  <c r="D898" i="3"/>
  <c r="D899" i="3"/>
  <c r="D900" i="3"/>
  <c r="D901" i="3"/>
  <c r="D902" i="3"/>
  <c r="D903" i="3"/>
  <c r="D904" i="3"/>
  <c r="D905" i="3"/>
  <c r="D906" i="3"/>
  <c r="K3" i="2"/>
  <c r="J3" i="2"/>
  <c r="H194" i="2"/>
  <c r="H195" i="2"/>
  <c r="D194" i="2"/>
  <c r="D195" i="2"/>
  <c r="H45" i="6"/>
  <c r="I45" i="6"/>
  <c r="J45" i="6"/>
  <c r="K45" i="6"/>
  <c r="L45" i="6"/>
  <c r="M45" i="6"/>
  <c r="N45" i="6"/>
  <c r="O45" i="6"/>
  <c r="G45" i="6"/>
  <c r="D14" i="6"/>
  <c r="D12" i="6"/>
  <c r="D13" i="6"/>
  <c r="D11" i="6"/>
  <c r="J10" i="6"/>
  <c r="K10" i="6"/>
  <c r="F10" i="6"/>
  <c r="G10" i="6"/>
  <c r="H10" i="6"/>
  <c r="I10" i="6"/>
  <c r="E10" i="6"/>
  <c r="S7" i="4"/>
  <c r="G13" i="6" s="1"/>
  <c r="T7" i="4"/>
  <c r="H13" i="6" s="1"/>
  <c r="U7" i="4"/>
  <c r="I13" i="6" s="1"/>
  <c r="V7" i="4"/>
  <c r="J13" i="6" s="1"/>
  <c r="W7" i="4"/>
  <c r="K13" i="6" s="1"/>
  <c r="R7" i="4"/>
  <c r="F13" i="6" s="1"/>
  <c r="S50" i="4"/>
  <c r="T50" i="4"/>
  <c r="U50" i="4"/>
  <c r="V50" i="4"/>
  <c r="W50" i="4"/>
  <c r="R50" i="4"/>
  <c r="S49" i="4"/>
  <c r="T49" i="4"/>
  <c r="U49" i="4"/>
  <c r="V49" i="4"/>
  <c r="W49" i="4"/>
  <c r="R49" i="4"/>
  <c r="S28" i="4"/>
  <c r="G14" i="6" s="1"/>
  <c r="T28" i="4"/>
  <c r="H14" i="6" s="1"/>
  <c r="U28" i="4"/>
  <c r="I14" i="6" s="1"/>
  <c r="V28" i="4"/>
  <c r="J14" i="6" s="1"/>
  <c r="W28" i="4"/>
  <c r="K14" i="6" s="1"/>
  <c r="R28" i="4"/>
  <c r="F14" i="6" s="1"/>
  <c r="S26" i="4"/>
  <c r="S47" i="4" s="1"/>
  <c r="T26" i="4"/>
  <c r="T47" i="4" s="1"/>
  <c r="U26" i="4"/>
  <c r="U47" i="4" s="1"/>
  <c r="V26" i="4"/>
  <c r="V47" i="4" s="1"/>
  <c r="W26" i="4"/>
  <c r="W47" i="4" s="1"/>
  <c r="R26" i="4"/>
  <c r="R47" i="4" s="1"/>
  <c r="S6" i="4"/>
  <c r="G12" i="6" s="1"/>
  <c r="T6" i="4"/>
  <c r="H12" i="6" s="1"/>
  <c r="U6" i="4"/>
  <c r="I12" i="6" s="1"/>
  <c r="V6" i="4"/>
  <c r="J12" i="6" s="1"/>
  <c r="W6" i="4"/>
  <c r="K12" i="6" s="1"/>
  <c r="R6" i="4"/>
  <c r="F12" i="6" s="1"/>
  <c r="S5" i="4"/>
  <c r="G11" i="6" s="1"/>
  <c r="T5" i="4"/>
  <c r="H11" i="6" s="1"/>
  <c r="U5" i="4"/>
  <c r="I11" i="6" s="1"/>
  <c r="V5" i="4"/>
  <c r="J11" i="6" s="1"/>
  <c r="W5" i="4"/>
  <c r="K11" i="6" s="1"/>
  <c r="R5" i="4"/>
  <c r="F11" i="6" s="1"/>
  <c r="BF25" i="1" l="1"/>
  <c r="BO4" i="1" l="1"/>
  <c r="BO5" i="1"/>
  <c r="BO6" i="1"/>
  <c r="BO7" i="1"/>
  <c r="BO8" i="1"/>
  <c r="BO9" i="1"/>
  <c r="BO10" i="1"/>
  <c r="BO11" i="1"/>
  <c r="BO12" i="1"/>
  <c r="BO13" i="1"/>
  <c r="BO14" i="1"/>
  <c r="BO15" i="1"/>
  <c r="BO16" i="1"/>
  <c r="BO17" i="1"/>
  <c r="BO18" i="1"/>
  <c r="BO19" i="1"/>
  <c r="BO20" i="1"/>
  <c r="BO21" i="1"/>
  <c r="BO22" i="1"/>
  <c r="BO23" i="1"/>
  <c r="BO24" i="1"/>
  <c r="BO25" i="1"/>
  <c r="BO26" i="1"/>
  <c r="BO27" i="1"/>
  <c r="BA10" i="1"/>
  <c r="BA6" i="1"/>
  <c r="BA5" i="1"/>
  <c r="AN4" i="1"/>
  <c r="AQ5" i="1" s="1"/>
  <c r="AQ6" i="1" s="1"/>
  <c r="T4" i="3"/>
  <c r="S4" i="3"/>
  <c r="T4" i="2"/>
  <c r="S4" i="2"/>
  <c r="T4" i="1"/>
  <c r="S4" i="1"/>
  <c r="BA11" i="1" l="1"/>
  <c r="X3" i="1"/>
  <c r="X4" i="1" s="1"/>
  <c r="AV5" i="1" s="1"/>
  <c r="AV6" i="1" s="1"/>
  <c r="BA8" i="1" s="1"/>
  <c r="D4" i="1"/>
  <c r="BL4" i="1" s="1"/>
  <c r="D4" i="3"/>
  <c r="H4" i="3"/>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4"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D5" i="1"/>
  <c r="BL5" i="1" s="1"/>
  <c r="D6" i="1"/>
  <c r="BL6" i="1" s="1"/>
  <c r="D7" i="1"/>
  <c r="BL7" i="1" s="1"/>
  <c r="D8" i="1"/>
  <c r="BL8" i="1" s="1"/>
  <c r="D9" i="1"/>
  <c r="BL9" i="1" s="1"/>
  <c r="D10" i="1"/>
  <c r="BL10" i="1" s="1"/>
  <c r="D11" i="1"/>
  <c r="BL11" i="1" s="1"/>
  <c r="D12" i="1"/>
  <c r="BL12" i="1" s="1"/>
  <c r="D13" i="1"/>
  <c r="BL13" i="1" s="1"/>
  <c r="D14" i="1"/>
  <c r="BL14" i="1" s="1"/>
  <c r="D15" i="1"/>
  <c r="BL15" i="1" s="1"/>
  <c r="D16" i="1"/>
  <c r="BL16" i="1" s="1"/>
  <c r="D17" i="1"/>
  <c r="BL17" i="1" s="1"/>
  <c r="D18" i="1"/>
  <c r="BL18" i="1" s="1"/>
  <c r="D19" i="1"/>
  <c r="BL19" i="1" s="1"/>
  <c r="D20" i="1"/>
  <c r="BL20" i="1" s="1"/>
  <c r="D21" i="1"/>
  <c r="BL21" i="1" s="1"/>
  <c r="D22" i="1"/>
  <c r="BL22" i="1" s="1"/>
  <c r="D23" i="1"/>
  <c r="BL23" i="1" s="1"/>
  <c r="D24" i="1"/>
  <c r="BL24" i="1" s="1"/>
  <c r="D25" i="1"/>
  <c r="BL25" i="1" s="1"/>
  <c r="D26" i="1"/>
  <c r="BL26" i="1" s="1"/>
  <c r="D27" i="1"/>
  <c r="BL27" i="1" s="1"/>
  <c r="D28" i="1"/>
  <c r="D29" i="1"/>
  <c r="D30" i="1"/>
  <c r="D31" i="1"/>
  <c r="D32" i="1"/>
  <c r="D33" i="1"/>
  <c r="D34" i="1"/>
  <c r="D35" i="1"/>
  <c r="D36" i="1"/>
  <c r="D37" i="1"/>
  <c r="D38" i="1"/>
  <c r="D39" i="1"/>
  <c r="D40" i="1"/>
  <c r="D41" i="1"/>
  <c r="D42" i="1"/>
  <c r="D43" i="1"/>
  <c r="D44" i="1"/>
  <c r="D45" i="1"/>
  <c r="D46" i="1"/>
  <c r="D47" i="1"/>
  <c r="BA15" i="1" l="1"/>
  <c r="BB15" i="1" s="1"/>
  <c r="J3" i="1"/>
  <c r="K3" i="3"/>
  <c r="K3" i="1"/>
  <c r="J3" i="3"/>
  <c r="L3" i="3" l="1"/>
  <c r="U4" i="3" s="1"/>
  <c r="U3" i="3" s="1"/>
  <c r="L3" i="2"/>
  <c r="U4" i="2" s="1"/>
  <c r="U3" i="2" s="1"/>
  <c r="L3" i="1"/>
  <c r="V4" i="1" s="1"/>
  <c r="V3" i="1" l="1"/>
  <c r="BA7" i="1"/>
  <c r="BA14" i="1" s="1"/>
  <c r="BB14"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7E8EDD3-1474-475C-8AE4-805869C507B3}" keepAlive="1" name="Query - Table 7" description="Connection to the 'Table 7' query in the workbook." type="5" refreshedVersion="0" background="1">
    <dbPr connection="Provider=Microsoft.Mashup.OleDb.1;Data Source=$Workbook$;Location=&quot;Table 7&quot;;Extended Properties=&quot;&quot;" command="SELECT * FROM [Table 7]"/>
  </connection>
  <connection id="2" xr16:uid="{01173AF4-EAD3-4989-8E3A-92691D241A05}" keepAlive="1" name="Query - Table 7 (2)" description="Connection to the 'Table 7 (2)' query in the workbook." type="5" refreshedVersion="0" background="1">
    <dbPr connection="Provider=Microsoft.Mashup.OleDb.1;Data Source=$Workbook$;Location=&quot;Table 7 (2)&quot;;Extended Properties=&quot;&quot;" command="SELECT * FROM [Table 7 (2)]"/>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67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bk>
      <extLst>
        <ext uri="{3e2802c4-a4d2-4d8b-9148-e3be6c30e623}">
          <xlrd:rvb i="123"/>
        </ext>
      </extLst>
    </bk>
    <bk>
      <extLst>
        <ext uri="{3e2802c4-a4d2-4d8b-9148-e3be6c30e623}">
          <xlrd:rvb i="124"/>
        </ext>
      </extLst>
    </bk>
    <bk>
      <extLst>
        <ext uri="{3e2802c4-a4d2-4d8b-9148-e3be6c30e623}">
          <xlrd:rvb i="125"/>
        </ext>
      </extLst>
    </bk>
    <bk>
      <extLst>
        <ext uri="{3e2802c4-a4d2-4d8b-9148-e3be6c30e623}">
          <xlrd:rvb i="126"/>
        </ext>
      </extLst>
    </bk>
    <bk>
      <extLst>
        <ext uri="{3e2802c4-a4d2-4d8b-9148-e3be6c30e623}">
          <xlrd:rvb i="127"/>
        </ext>
      </extLst>
    </bk>
    <bk>
      <extLst>
        <ext uri="{3e2802c4-a4d2-4d8b-9148-e3be6c30e623}">
          <xlrd:rvb i="128"/>
        </ext>
      </extLst>
    </bk>
    <bk>
      <extLst>
        <ext uri="{3e2802c4-a4d2-4d8b-9148-e3be6c30e623}">
          <xlrd:rvb i="129"/>
        </ext>
      </extLst>
    </bk>
    <bk>
      <extLst>
        <ext uri="{3e2802c4-a4d2-4d8b-9148-e3be6c30e623}">
          <xlrd:rvb i="130"/>
        </ext>
      </extLst>
    </bk>
    <bk>
      <extLst>
        <ext uri="{3e2802c4-a4d2-4d8b-9148-e3be6c30e623}">
          <xlrd:rvb i="131"/>
        </ext>
      </extLst>
    </bk>
    <bk>
      <extLst>
        <ext uri="{3e2802c4-a4d2-4d8b-9148-e3be6c30e623}">
          <xlrd:rvb i="132"/>
        </ext>
      </extLst>
    </bk>
    <bk>
      <extLst>
        <ext uri="{3e2802c4-a4d2-4d8b-9148-e3be6c30e623}">
          <xlrd:rvb i="133"/>
        </ext>
      </extLst>
    </bk>
    <bk>
      <extLst>
        <ext uri="{3e2802c4-a4d2-4d8b-9148-e3be6c30e623}">
          <xlrd:rvb i="134"/>
        </ext>
      </extLst>
    </bk>
    <bk>
      <extLst>
        <ext uri="{3e2802c4-a4d2-4d8b-9148-e3be6c30e623}">
          <xlrd:rvb i="135"/>
        </ext>
      </extLst>
    </bk>
    <bk>
      <extLst>
        <ext uri="{3e2802c4-a4d2-4d8b-9148-e3be6c30e623}">
          <xlrd:rvb i="136"/>
        </ext>
      </extLst>
    </bk>
    <bk>
      <extLst>
        <ext uri="{3e2802c4-a4d2-4d8b-9148-e3be6c30e623}">
          <xlrd:rvb i="137"/>
        </ext>
      </extLst>
    </bk>
    <bk>
      <extLst>
        <ext uri="{3e2802c4-a4d2-4d8b-9148-e3be6c30e623}">
          <xlrd:rvb i="138"/>
        </ext>
      </extLst>
    </bk>
    <bk>
      <extLst>
        <ext uri="{3e2802c4-a4d2-4d8b-9148-e3be6c30e623}">
          <xlrd:rvb i="139"/>
        </ext>
      </extLst>
    </bk>
    <bk>
      <extLst>
        <ext uri="{3e2802c4-a4d2-4d8b-9148-e3be6c30e623}">
          <xlrd:rvb i="140"/>
        </ext>
      </extLst>
    </bk>
    <bk>
      <extLst>
        <ext uri="{3e2802c4-a4d2-4d8b-9148-e3be6c30e623}">
          <xlrd:rvb i="141"/>
        </ext>
      </extLst>
    </bk>
    <bk>
      <extLst>
        <ext uri="{3e2802c4-a4d2-4d8b-9148-e3be6c30e623}">
          <xlrd:rvb i="142"/>
        </ext>
      </extLst>
    </bk>
    <bk>
      <extLst>
        <ext uri="{3e2802c4-a4d2-4d8b-9148-e3be6c30e623}">
          <xlrd:rvb i="143"/>
        </ext>
      </extLst>
    </bk>
    <bk>
      <extLst>
        <ext uri="{3e2802c4-a4d2-4d8b-9148-e3be6c30e623}">
          <xlrd:rvb i="144"/>
        </ext>
      </extLst>
    </bk>
    <bk>
      <extLst>
        <ext uri="{3e2802c4-a4d2-4d8b-9148-e3be6c30e623}">
          <xlrd:rvb i="145"/>
        </ext>
      </extLst>
    </bk>
    <bk>
      <extLst>
        <ext uri="{3e2802c4-a4d2-4d8b-9148-e3be6c30e623}">
          <xlrd:rvb i="146"/>
        </ext>
      </extLst>
    </bk>
    <bk>
      <extLst>
        <ext uri="{3e2802c4-a4d2-4d8b-9148-e3be6c30e623}">
          <xlrd:rvb i="147"/>
        </ext>
      </extLst>
    </bk>
    <bk>
      <extLst>
        <ext uri="{3e2802c4-a4d2-4d8b-9148-e3be6c30e623}">
          <xlrd:rvb i="148"/>
        </ext>
      </extLst>
    </bk>
    <bk>
      <extLst>
        <ext uri="{3e2802c4-a4d2-4d8b-9148-e3be6c30e623}">
          <xlrd:rvb i="149"/>
        </ext>
      </extLst>
    </bk>
    <bk>
      <extLst>
        <ext uri="{3e2802c4-a4d2-4d8b-9148-e3be6c30e623}">
          <xlrd:rvb i="150"/>
        </ext>
      </extLst>
    </bk>
    <bk>
      <extLst>
        <ext uri="{3e2802c4-a4d2-4d8b-9148-e3be6c30e623}">
          <xlrd:rvb i="151"/>
        </ext>
      </extLst>
    </bk>
    <bk>
      <extLst>
        <ext uri="{3e2802c4-a4d2-4d8b-9148-e3be6c30e623}">
          <xlrd:rvb i="152"/>
        </ext>
      </extLst>
    </bk>
    <bk>
      <extLst>
        <ext uri="{3e2802c4-a4d2-4d8b-9148-e3be6c30e623}">
          <xlrd:rvb i="153"/>
        </ext>
      </extLst>
    </bk>
    <bk>
      <extLst>
        <ext uri="{3e2802c4-a4d2-4d8b-9148-e3be6c30e623}">
          <xlrd:rvb i="154"/>
        </ext>
      </extLst>
    </bk>
    <bk>
      <extLst>
        <ext uri="{3e2802c4-a4d2-4d8b-9148-e3be6c30e623}">
          <xlrd:rvb i="155"/>
        </ext>
      </extLst>
    </bk>
    <bk>
      <extLst>
        <ext uri="{3e2802c4-a4d2-4d8b-9148-e3be6c30e623}">
          <xlrd:rvb i="156"/>
        </ext>
      </extLst>
    </bk>
    <bk>
      <extLst>
        <ext uri="{3e2802c4-a4d2-4d8b-9148-e3be6c30e623}">
          <xlrd:rvb i="157"/>
        </ext>
      </extLst>
    </bk>
    <bk>
      <extLst>
        <ext uri="{3e2802c4-a4d2-4d8b-9148-e3be6c30e623}">
          <xlrd:rvb i="158"/>
        </ext>
      </extLst>
    </bk>
    <bk>
      <extLst>
        <ext uri="{3e2802c4-a4d2-4d8b-9148-e3be6c30e623}">
          <xlrd:rvb i="159"/>
        </ext>
      </extLst>
    </bk>
    <bk>
      <extLst>
        <ext uri="{3e2802c4-a4d2-4d8b-9148-e3be6c30e623}">
          <xlrd:rvb i="160"/>
        </ext>
      </extLst>
    </bk>
    <bk>
      <extLst>
        <ext uri="{3e2802c4-a4d2-4d8b-9148-e3be6c30e623}">
          <xlrd:rvb i="161"/>
        </ext>
      </extLst>
    </bk>
    <bk>
      <extLst>
        <ext uri="{3e2802c4-a4d2-4d8b-9148-e3be6c30e623}">
          <xlrd:rvb i="162"/>
        </ext>
      </extLst>
    </bk>
    <bk>
      <extLst>
        <ext uri="{3e2802c4-a4d2-4d8b-9148-e3be6c30e623}">
          <xlrd:rvb i="163"/>
        </ext>
      </extLst>
    </bk>
    <bk>
      <extLst>
        <ext uri="{3e2802c4-a4d2-4d8b-9148-e3be6c30e623}">
          <xlrd:rvb i="164"/>
        </ext>
      </extLst>
    </bk>
    <bk>
      <extLst>
        <ext uri="{3e2802c4-a4d2-4d8b-9148-e3be6c30e623}">
          <xlrd:rvb i="165"/>
        </ext>
      </extLst>
    </bk>
    <bk>
      <extLst>
        <ext uri="{3e2802c4-a4d2-4d8b-9148-e3be6c30e623}">
          <xlrd:rvb i="166"/>
        </ext>
      </extLst>
    </bk>
    <bk>
      <extLst>
        <ext uri="{3e2802c4-a4d2-4d8b-9148-e3be6c30e623}">
          <xlrd:rvb i="167"/>
        </ext>
      </extLst>
    </bk>
    <bk>
      <extLst>
        <ext uri="{3e2802c4-a4d2-4d8b-9148-e3be6c30e623}">
          <xlrd:rvb i="168"/>
        </ext>
      </extLst>
    </bk>
    <bk>
      <extLst>
        <ext uri="{3e2802c4-a4d2-4d8b-9148-e3be6c30e623}">
          <xlrd:rvb i="169"/>
        </ext>
      </extLst>
    </bk>
    <bk>
      <extLst>
        <ext uri="{3e2802c4-a4d2-4d8b-9148-e3be6c30e623}">
          <xlrd:rvb i="170"/>
        </ext>
      </extLst>
    </bk>
    <bk>
      <extLst>
        <ext uri="{3e2802c4-a4d2-4d8b-9148-e3be6c30e623}">
          <xlrd:rvb i="171"/>
        </ext>
      </extLst>
    </bk>
    <bk>
      <extLst>
        <ext uri="{3e2802c4-a4d2-4d8b-9148-e3be6c30e623}">
          <xlrd:rvb i="172"/>
        </ext>
      </extLst>
    </bk>
    <bk>
      <extLst>
        <ext uri="{3e2802c4-a4d2-4d8b-9148-e3be6c30e623}">
          <xlrd:rvb i="173"/>
        </ext>
      </extLst>
    </bk>
    <bk>
      <extLst>
        <ext uri="{3e2802c4-a4d2-4d8b-9148-e3be6c30e623}">
          <xlrd:rvb i="174"/>
        </ext>
      </extLst>
    </bk>
    <bk>
      <extLst>
        <ext uri="{3e2802c4-a4d2-4d8b-9148-e3be6c30e623}">
          <xlrd:rvb i="175"/>
        </ext>
      </extLst>
    </bk>
    <bk>
      <extLst>
        <ext uri="{3e2802c4-a4d2-4d8b-9148-e3be6c30e623}">
          <xlrd:rvb i="176"/>
        </ext>
      </extLst>
    </bk>
    <bk>
      <extLst>
        <ext uri="{3e2802c4-a4d2-4d8b-9148-e3be6c30e623}">
          <xlrd:rvb i="177"/>
        </ext>
      </extLst>
    </bk>
    <bk>
      <extLst>
        <ext uri="{3e2802c4-a4d2-4d8b-9148-e3be6c30e623}">
          <xlrd:rvb i="178"/>
        </ext>
      </extLst>
    </bk>
    <bk>
      <extLst>
        <ext uri="{3e2802c4-a4d2-4d8b-9148-e3be6c30e623}">
          <xlrd:rvb i="179"/>
        </ext>
      </extLst>
    </bk>
    <bk>
      <extLst>
        <ext uri="{3e2802c4-a4d2-4d8b-9148-e3be6c30e623}">
          <xlrd:rvb i="180"/>
        </ext>
      </extLst>
    </bk>
    <bk>
      <extLst>
        <ext uri="{3e2802c4-a4d2-4d8b-9148-e3be6c30e623}">
          <xlrd:rvb i="181"/>
        </ext>
      </extLst>
    </bk>
    <bk>
      <extLst>
        <ext uri="{3e2802c4-a4d2-4d8b-9148-e3be6c30e623}">
          <xlrd:rvb i="182"/>
        </ext>
      </extLst>
    </bk>
    <bk>
      <extLst>
        <ext uri="{3e2802c4-a4d2-4d8b-9148-e3be6c30e623}">
          <xlrd:rvb i="183"/>
        </ext>
      </extLst>
    </bk>
    <bk>
      <extLst>
        <ext uri="{3e2802c4-a4d2-4d8b-9148-e3be6c30e623}">
          <xlrd:rvb i="184"/>
        </ext>
      </extLst>
    </bk>
    <bk>
      <extLst>
        <ext uri="{3e2802c4-a4d2-4d8b-9148-e3be6c30e623}">
          <xlrd:rvb i="185"/>
        </ext>
      </extLst>
    </bk>
    <bk>
      <extLst>
        <ext uri="{3e2802c4-a4d2-4d8b-9148-e3be6c30e623}">
          <xlrd:rvb i="186"/>
        </ext>
      </extLst>
    </bk>
    <bk>
      <extLst>
        <ext uri="{3e2802c4-a4d2-4d8b-9148-e3be6c30e623}">
          <xlrd:rvb i="187"/>
        </ext>
      </extLst>
    </bk>
    <bk>
      <extLst>
        <ext uri="{3e2802c4-a4d2-4d8b-9148-e3be6c30e623}">
          <xlrd:rvb i="188"/>
        </ext>
      </extLst>
    </bk>
    <bk>
      <extLst>
        <ext uri="{3e2802c4-a4d2-4d8b-9148-e3be6c30e623}">
          <xlrd:rvb i="189"/>
        </ext>
      </extLst>
    </bk>
    <bk>
      <extLst>
        <ext uri="{3e2802c4-a4d2-4d8b-9148-e3be6c30e623}">
          <xlrd:rvb i="190"/>
        </ext>
      </extLst>
    </bk>
    <bk>
      <extLst>
        <ext uri="{3e2802c4-a4d2-4d8b-9148-e3be6c30e623}">
          <xlrd:rvb i="191"/>
        </ext>
      </extLst>
    </bk>
    <bk>
      <extLst>
        <ext uri="{3e2802c4-a4d2-4d8b-9148-e3be6c30e623}">
          <xlrd:rvb i="192"/>
        </ext>
      </extLst>
    </bk>
    <bk>
      <extLst>
        <ext uri="{3e2802c4-a4d2-4d8b-9148-e3be6c30e623}">
          <xlrd:rvb i="193"/>
        </ext>
      </extLst>
    </bk>
    <bk>
      <extLst>
        <ext uri="{3e2802c4-a4d2-4d8b-9148-e3be6c30e623}">
          <xlrd:rvb i="194"/>
        </ext>
      </extLst>
    </bk>
    <bk>
      <extLst>
        <ext uri="{3e2802c4-a4d2-4d8b-9148-e3be6c30e623}">
          <xlrd:rvb i="195"/>
        </ext>
      </extLst>
    </bk>
    <bk>
      <extLst>
        <ext uri="{3e2802c4-a4d2-4d8b-9148-e3be6c30e623}">
          <xlrd:rvb i="196"/>
        </ext>
      </extLst>
    </bk>
    <bk>
      <extLst>
        <ext uri="{3e2802c4-a4d2-4d8b-9148-e3be6c30e623}">
          <xlrd:rvb i="197"/>
        </ext>
      </extLst>
    </bk>
    <bk>
      <extLst>
        <ext uri="{3e2802c4-a4d2-4d8b-9148-e3be6c30e623}">
          <xlrd:rvb i="198"/>
        </ext>
      </extLst>
    </bk>
    <bk>
      <extLst>
        <ext uri="{3e2802c4-a4d2-4d8b-9148-e3be6c30e623}">
          <xlrd:rvb i="199"/>
        </ext>
      </extLst>
    </bk>
    <bk>
      <extLst>
        <ext uri="{3e2802c4-a4d2-4d8b-9148-e3be6c30e623}">
          <xlrd:rvb i="200"/>
        </ext>
      </extLst>
    </bk>
    <bk>
      <extLst>
        <ext uri="{3e2802c4-a4d2-4d8b-9148-e3be6c30e623}">
          <xlrd:rvb i="201"/>
        </ext>
      </extLst>
    </bk>
    <bk>
      <extLst>
        <ext uri="{3e2802c4-a4d2-4d8b-9148-e3be6c30e623}">
          <xlrd:rvb i="202"/>
        </ext>
      </extLst>
    </bk>
    <bk>
      <extLst>
        <ext uri="{3e2802c4-a4d2-4d8b-9148-e3be6c30e623}">
          <xlrd:rvb i="203"/>
        </ext>
      </extLst>
    </bk>
    <bk>
      <extLst>
        <ext uri="{3e2802c4-a4d2-4d8b-9148-e3be6c30e623}">
          <xlrd:rvb i="204"/>
        </ext>
      </extLst>
    </bk>
    <bk>
      <extLst>
        <ext uri="{3e2802c4-a4d2-4d8b-9148-e3be6c30e623}">
          <xlrd:rvb i="205"/>
        </ext>
      </extLst>
    </bk>
    <bk>
      <extLst>
        <ext uri="{3e2802c4-a4d2-4d8b-9148-e3be6c30e623}">
          <xlrd:rvb i="206"/>
        </ext>
      </extLst>
    </bk>
    <bk>
      <extLst>
        <ext uri="{3e2802c4-a4d2-4d8b-9148-e3be6c30e623}">
          <xlrd:rvb i="207"/>
        </ext>
      </extLst>
    </bk>
    <bk>
      <extLst>
        <ext uri="{3e2802c4-a4d2-4d8b-9148-e3be6c30e623}">
          <xlrd:rvb i="208"/>
        </ext>
      </extLst>
    </bk>
    <bk>
      <extLst>
        <ext uri="{3e2802c4-a4d2-4d8b-9148-e3be6c30e623}">
          <xlrd:rvb i="209"/>
        </ext>
      </extLst>
    </bk>
    <bk>
      <extLst>
        <ext uri="{3e2802c4-a4d2-4d8b-9148-e3be6c30e623}">
          <xlrd:rvb i="210"/>
        </ext>
      </extLst>
    </bk>
    <bk>
      <extLst>
        <ext uri="{3e2802c4-a4d2-4d8b-9148-e3be6c30e623}">
          <xlrd:rvb i="211"/>
        </ext>
      </extLst>
    </bk>
    <bk>
      <extLst>
        <ext uri="{3e2802c4-a4d2-4d8b-9148-e3be6c30e623}">
          <xlrd:rvb i="212"/>
        </ext>
      </extLst>
    </bk>
    <bk>
      <extLst>
        <ext uri="{3e2802c4-a4d2-4d8b-9148-e3be6c30e623}">
          <xlrd:rvb i="213"/>
        </ext>
      </extLst>
    </bk>
    <bk>
      <extLst>
        <ext uri="{3e2802c4-a4d2-4d8b-9148-e3be6c30e623}">
          <xlrd:rvb i="214"/>
        </ext>
      </extLst>
    </bk>
    <bk>
      <extLst>
        <ext uri="{3e2802c4-a4d2-4d8b-9148-e3be6c30e623}">
          <xlrd:rvb i="215"/>
        </ext>
      </extLst>
    </bk>
    <bk>
      <extLst>
        <ext uri="{3e2802c4-a4d2-4d8b-9148-e3be6c30e623}">
          <xlrd:rvb i="216"/>
        </ext>
      </extLst>
    </bk>
    <bk>
      <extLst>
        <ext uri="{3e2802c4-a4d2-4d8b-9148-e3be6c30e623}">
          <xlrd:rvb i="217"/>
        </ext>
      </extLst>
    </bk>
    <bk>
      <extLst>
        <ext uri="{3e2802c4-a4d2-4d8b-9148-e3be6c30e623}">
          <xlrd:rvb i="218"/>
        </ext>
      </extLst>
    </bk>
    <bk>
      <extLst>
        <ext uri="{3e2802c4-a4d2-4d8b-9148-e3be6c30e623}">
          <xlrd:rvb i="219"/>
        </ext>
      </extLst>
    </bk>
    <bk>
      <extLst>
        <ext uri="{3e2802c4-a4d2-4d8b-9148-e3be6c30e623}">
          <xlrd:rvb i="220"/>
        </ext>
      </extLst>
    </bk>
    <bk>
      <extLst>
        <ext uri="{3e2802c4-a4d2-4d8b-9148-e3be6c30e623}">
          <xlrd:rvb i="221"/>
        </ext>
      </extLst>
    </bk>
    <bk>
      <extLst>
        <ext uri="{3e2802c4-a4d2-4d8b-9148-e3be6c30e623}">
          <xlrd:rvb i="222"/>
        </ext>
      </extLst>
    </bk>
    <bk>
      <extLst>
        <ext uri="{3e2802c4-a4d2-4d8b-9148-e3be6c30e623}">
          <xlrd:rvb i="223"/>
        </ext>
      </extLst>
    </bk>
    <bk>
      <extLst>
        <ext uri="{3e2802c4-a4d2-4d8b-9148-e3be6c30e623}">
          <xlrd:rvb i="224"/>
        </ext>
      </extLst>
    </bk>
    <bk>
      <extLst>
        <ext uri="{3e2802c4-a4d2-4d8b-9148-e3be6c30e623}">
          <xlrd:rvb i="225"/>
        </ext>
      </extLst>
    </bk>
    <bk>
      <extLst>
        <ext uri="{3e2802c4-a4d2-4d8b-9148-e3be6c30e623}">
          <xlrd:rvb i="226"/>
        </ext>
      </extLst>
    </bk>
    <bk>
      <extLst>
        <ext uri="{3e2802c4-a4d2-4d8b-9148-e3be6c30e623}">
          <xlrd:rvb i="227"/>
        </ext>
      </extLst>
    </bk>
    <bk>
      <extLst>
        <ext uri="{3e2802c4-a4d2-4d8b-9148-e3be6c30e623}">
          <xlrd:rvb i="228"/>
        </ext>
      </extLst>
    </bk>
    <bk>
      <extLst>
        <ext uri="{3e2802c4-a4d2-4d8b-9148-e3be6c30e623}">
          <xlrd:rvb i="229"/>
        </ext>
      </extLst>
    </bk>
    <bk>
      <extLst>
        <ext uri="{3e2802c4-a4d2-4d8b-9148-e3be6c30e623}">
          <xlrd:rvb i="230"/>
        </ext>
      </extLst>
    </bk>
    <bk>
      <extLst>
        <ext uri="{3e2802c4-a4d2-4d8b-9148-e3be6c30e623}">
          <xlrd:rvb i="231"/>
        </ext>
      </extLst>
    </bk>
    <bk>
      <extLst>
        <ext uri="{3e2802c4-a4d2-4d8b-9148-e3be6c30e623}">
          <xlrd:rvb i="232"/>
        </ext>
      </extLst>
    </bk>
    <bk>
      <extLst>
        <ext uri="{3e2802c4-a4d2-4d8b-9148-e3be6c30e623}">
          <xlrd:rvb i="233"/>
        </ext>
      </extLst>
    </bk>
    <bk>
      <extLst>
        <ext uri="{3e2802c4-a4d2-4d8b-9148-e3be6c30e623}">
          <xlrd:rvb i="234"/>
        </ext>
      </extLst>
    </bk>
    <bk>
      <extLst>
        <ext uri="{3e2802c4-a4d2-4d8b-9148-e3be6c30e623}">
          <xlrd:rvb i="235"/>
        </ext>
      </extLst>
    </bk>
    <bk>
      <extLst>
        <ext uri="{3e2802c4-a4d2-4d8b-9148-e3be6c30e623}">
          <xlrd:rvb i="236"/>
        </ext>
      </extLst>
    </bk>
    <bk>
      <extLst>
        <ext uri="{3e2802c4-a4d2-4d8b-9148-e3be6c30e623}">
          <xlrd:rvb i="237"/>
        </ext>
      </extLst>
    </bk>
    <bk>
      <extLst>
        <ext uri="{3e2802c4-a4d2-4d8b-9148-e3be6c30e623}">
          <xlrd:rvb i="238"/>
        </ext>
      </extLst>
    </bk>
    <bk>
      <extLst>
        <ext uri="{3e2802c4-a4d2-4d8b-9148-e3be6c30e623}">
          <xlrd:rvb i="239"/>
        </ext>
      </extLst>
    </bk>
    <bk>
      <extLst>
        <ext uri="{3e2802c4-a4d2-4d8b-9148-e3be6c30e623}">
          <xlrd:rvb i="240"/>
        </ext>
      </extLst>
    </bk>
    <bk>
      <extLst>
        <ext uri="{3e2802c4-a4d2-4d8b-9148-e3be6c30e623}">
          <xlrd:rvb i="241"/>
        </ext>
      </extLst>
    </bk>
    <bk>
      <extLst>
        <ext uri="{3e2802c4-a4d2-4d8b-9148-e3be6c30e623}">
          <xlrd:rvb i="242"/>
        </ext>
      </extLst>
    </bk>
    <bk>
      <extLst>
        <ext uri="{3e2802c4-a4d2-4d8b-9148-e3be6c30e623}">
          <xlrd:rvb i="243"/>
        </ext>
      </extLst>
    </bk>
    <bk>
      <extLst>
        <ext uri="{3e2802c4-a4d2-4d8b-9148-e3be6c30e623}">
          <xlrd:rvb i="244"/>
        </ext>
      </extLst>
    </bk>
    <bk>
      <extLst>
        <ext uri="{3e2802c4-a4d2-4d8b-9148-e3be6c30e623}">
          <xlrd:rvb i="245"/>
        </ext>
      </extLst>
    </bk>
    <bk>
      <extLst>
        <ext uri="{3e2802c4-a4d2-4d8b-9148-e3be6c30e623}">
          <xlrd:rvb i="246"/>
        </ext>
      </extLst>
    </bk>
    <bk>
      <extLst>
        <ext uri="{3e2802c4-a4d2-4d8b-9148-e3be6c30e623}">
          <xlrd:rvb i="247"/>
        </ext>
      </extLst>
    </bk>
    <bk>
      <extLst>
        <ext uri="{3e2802c4-a4d2-4d8b-9148-e3be6c30e623}">
          <xlrd:rvb i="248"/>
        </ext>
      </extLst>
    </bk>
    <bk>
      <extLst>
        <ext uri="{3e2802c4-a4d2-4d8b-9148-e3be6c30e623}">
          <xlrd:rvb i="249"/>
        </ext>
      </extLst>
    </bk>
    <bk>
      <extLst>
        <ext uri="{3e2802c4-a4d2-4d8b-9148-e3be6c30e623}">
          <xlrd:rvb i="250"/>
        </ext>
      </extLst>
    </bk>
    <bk>
      <extLst>
        <ext uri="{3e2802c4-a4d2-4d8b-9148-e3be6c30e623}">
          <xlrd:rvb i="251"/>
        </ext>
      </extLst>
    </bk>
    <bk>
      <extLst>
        <ext uri="{3e2802c4-a4d2-4d8b-9148-e3be6c30e623}">
          <xlrd:rvb i="252"/>
        </ext>
      </extLst>
    </bk>
    <bk>
      <extLst>
        <ext uri="{3e2802c4-a4d2-4d8b-9148-e3be6c30e623}">
          <xlrd:rvb i="253"/>
        </ext>
      </extLst>
    </bk>
    <bk>
      <extLst>
        <ext uri="{3e2802c4-a4d2-4d8b-9148-e3be6c30e623}">
          <xlrd:rvb i="254"/>
        </ext>
      </extLst>
    </bk>
    <bk>
      <extLst>
        <ext uri="{3e2802c4-a4d2-4d8b-9148-e3be6c30e623}">
          <xlrd:rvb i="255"/>
        </ext>
      </extLst>
    </bk>
    <bk>
      <extLst>
        <ext uri="{3e2802c4-a4d2-4d8b-9148-e3be6c30e623}">
          <xlrd:rvb i="256"/>
        </ext>
      </extLst>
    </bk>
    <bk>
      <extLst>
        <ext uri="{3e2802c4-a4d2-4d8b-9148-e3be6c30e623}">
          <xlrd:rvb i="257"/>
        </ext>
      </extLst>
    </bk>
    <bk>
      <extLst>
        <ext uri="{3e2802c4-a4d2-4d8b-9148-e3be6c30e623}">
          <xlrd:rvb i="258"/>
        </ext>
      </extLst>
    </bk>
    <bk>
      <extLst>
        <ext uri="{3e2802c4-a4d2-4d8b-9148-e3be6c30e623}">
          <xlrd:rvb i="259"/>
        </ext>
      </extLst>
    </bk>
    <bk>
      <extLst>
        <ext uri="{3e2802c4-a4d2-4d8b-9148-e3be6c30e623}">
          <xlrd:rvb i="260"/>
        </ext>
      </extLst>
    </bk>
    <bk>
      <extLst>
        <ext uri="{3e2802c4-a4d2-4d8b-9148-e3be6c30e623}">
          <xlrd:rvb i="261"/>
        </ext>
      </extLst>
    </bk>
    <bk>
      <extLst>
        <ext uri="{3e2802c4-a4d2-4d8b-9148-e3be6c30e623}">
          <xlrd:rvb i="262"/>
        </ext>
      </extLst>
    </bk>
    <bk>
      <extLst>
        <ext uri="{3e2802c4-a4d2-4d8b-9148-e3be6c30e623}">
          <xlrd:rvb i="263"/>
        </ext>
      </extLst>
    </bk>
    <bk>
      <extLst>
        <ext uri="{3e2802c4-a4d2-4d8b-9148-e3be6c30e623}">
          <xlrd:rvb i="264"/>
        </ext>
      </extLst>
    </bk>
    <bk>
      <extLst>
        <ext uri="{3e2802c4-a4d2-4d8b-9148-e3be6c30e623}">
          <xlrd:rvb i="265"/>
        </ext>
      </extLst>
    </bk>
    <bk>
      <extLst>
        <ext uri="{3e2802c4-a4d2-4d8b-9148-e3be6c30e623}">
          <xlrd:rvb i="266"/>
        </ext>
      </extLst>
    </bk>
    <bk>
      <extLst>
        <ext uri="{3e2802c4-a4d2-4d8b-9148-e3be6c30e623}">
          <xlrd:rvb i="267"/>
        </ext>
      </extLst>
    </bk>
    <bk>
      <extLst>
        <ext uri="{3e2802c4-a4d2-4d8b-9148-e3be6c30e623}">
          <xlrd:rvb i="268"/>
        </ext>
      </extLst>
    </bk>
    <bk>
      <extLst>
        <ext uri="{3e2802c4-a4d2-4d8b-9148-e3be6c30e623}">
          <xlrd:rvb i="269"/>
        </ext>
      </extLst>
    </bk>
    <bk>
      <extLst>
        <ext uri="{3e2802c4-a4d2-4d8b-9148-e3be6c30e623}">
          <xlrd:rvb i="270"/>
        </ext>
      </extLst>
    </bk>
    <bk>
      <extLst>
        <ext uri="{3e2802c4-a4d2-4d8b-9148-e3be6c30e623}">
          <xlrd:rvb i="271"/>
        </ext>
      </extLst>
    </bk>
    <bk>
      <extLst>
        <ext uri="{3e2802c4-a4d2-4d8b-9148-e3be6c30e623}">
          <xlrd:rvb i="272"/>
        </ext>
      </extLst>
    </bk>
    <bk>
      <extLst>
        <ext uri="{3e2802c4-a4d2-4d8b-9148-e3be6c30e623}">
          <xlrd:rvb i="273"/>
        </ext>
      </extLst>
    </bk>
    <bk>
      <extLst>
        <ext uri="{3e2802c4-a4d2-4d8b-9148-e3be6c30e623}">
          <xlrd:rvb i="274"/>
        </ext>
      </extLst>
    </bk>
    <bk>
      <extLst>
        <ext uri="{3e2802c4-a4d2-4d8b-9148-e3be6c30e623}">
          <xlrd:rvb i="275"/>
        </ext>
      </extLst>
    </bk>
    <bk>
      <extLst>
        <ext uri="{3e2802c4-a4d2-4d8b-9148-e3be6c30e623}">
          <xlrd:rvb i="276"/>
        </ext>
      </extLst>
    </bk>
    <bk>
      <extLst>
        <ext uri="{3e2802c4-a4d2-4d8b-9148-e3be6c30e623}">
          <xlrd:rvb i="277"/>
        </ext>
      </extLst>
    </bk>
    <bk>
      <extLst>
        <ext uri="{3e2802c4-a4d2-4d8b-9148-e3be6c30e623}">
          <xlrd:rvb i="278"/>
        </ext>
      </extLst>
    </bk>
    <bk>
      <extLst>
        <ext uri="{3e2802c4-a4d2-4d8b-9148-e3be6c30e623}">
          <xlrd:rvb i="279"/>
        </ext>
      </extLst>
    </bk>
    <bk>
      <extLst>
        <ext uri="{3e2802c4-a4d2-4d8b-9148-e3be6c30e623}">
          <xlrd:rvb i="280"/>
        </ext>
      </extLst>
    </bk>
    <bk>
      <extLst>
        <ext uri="{3e2802c4-a4d2-4d8b-9148-e3be6c30e623}">
          <xlrd:rvb i="281"/>
        </ext>
      </extLst>
    </bk>
    <bk>
      <extLst>
        <ext uri="{3e2802c4-a4d2-4d8b-9148-e3be6c30e623}">
          <xlrd:rvb i="282"/>
        </ext>
      </extLst>
    </bk>
    <bk>
      <extLst>
        <ext uri="{3e2802c4-a4d2-4d8b-9148-e3be6c30e623}">
          <xlrd:rvb i="283"/>
        </ext>
      </extLst>
    </bk>
    <bk>
      <extLst>
        <ext uri="{3e2802c4-a4d2-4d8b-9148-e3be6c30e623}">
          <xlrd:rvb i="284"/>
        </ext>
      </extLst>
    </bk>
    <bk>
      <extLst>
        <ext uri="{3e2802c4-a4d2-4d8b-9148-e3be6c30e623}">
          <xlrd:rvb i="285"/>
        </ext>
      </extLst>
    </bk>
    <bk>
      <extLst>
        <ext uri="{3e2802c4-a4d2-4d8b-9148-e3be6c30e623}">
          <xlrd:rvb i="286"/>
        </ext>
      </extLst>
    </bk>
    <bk>
      <extLst>
        <ext uri="{3e2802c4-a4d2-4d8b-9148-e3be6c30e623}">
          <xlrd:rvb i="287"/>
        </ext>
      </extLst>
    </bk>
    <bk>
      <extLst>
        <ext uri="{3e2802c4-a4d2-4d8b-9148-e3be6c30e623}">
          <xlrd:rvb i="288"/>
        </ext>
      </extLst>
    </bk>
    <bk>
      <extLst>
        <ext uri="{3e2802c4-a4d2-4d8b-9148-e3be6c30e623}">
          <xlrd:rvb i="289"/>
        </ext>
      </extLst>
    </bk>
    <bk>
      <extLst>
        <ext uri="{3e2802c4-a4d2-4d8b-9148-e3be6c30e623}">
          <xlrd:rvb i="290"/>
        </ext>
      </extLst>
    </bk>
    <bk>
      <extLst>
        <ext uri="{3e2802c4-a4d2-4d8b-9148-e3be6c30e623}">
          <xlrd:rvb i="291"/>
        </ext>
      </extLst>
    </bk>
    <bk>
      <extLst>
        <ext uri="{3e2802c4-a4d2-4d8b-9148-e3be6c30e623}">
          <xlrd:rvb i="292"/>
        </ext>
      </extLst>
    </bk>
    <bk>
      <extLst>
        <ext uri="{3e2802c4-a4d2-4d8b-9148-e3be6c30e623}">
          <xlrd:rvb i="293"/>
        </ext>
      </extLst>
    </bk>
    <bk>
      <extLst>
        <ext uri="{3e2802c4-a4d2-4d8b-9148-e3be6c30e623}">
          <xlrd:rvb i="294"/>
        </ext>
      </extLst>
    </bk>
    <bk>
      <extLst>
        <ext uri="{3e2802c4-a4d2-4d8b-9148-e3be6c30e623}">
          <xlrd:rvb i="295"/>
        </ext>
      </extLst>
    </bk>
    <bk>
      <extLst>
        <ext uri="{3e2802c4-a4d2-4d8b-9148-e3be6c30e623}">
          <xlrd:rvb i="296"/>
        </ext>
      </extLst>
    </bk>
    <bk>
      <extLst>
        <ext uri="{3e2802c4-a4d2-4d8b-9148-e3be6c30e623}">
          <xlrd:rvb i="297"/>
        </ext>
      </extLst>
    </bk>
    <bk>
      <extLst>
        <ext uri="{3e2802c4-a4d2-4d8b-9148-e3be6c30e623}">
          <xlrd:rvb i="298"/>
        </ext>
      </extLst>
    </bk>
    <bk>
      <extLst>
        <ext uri="{3e2802c4-a4d2-4d8b-9148-e3be6c30e623}">
          <xlrd:rvb i="299"/>
        </ext>
      </extLst>
    </bk>
    <bk>
      <extLst>
        <ext uri="{3e2802c4-a4d2-4d8b-9148-e3be6c30e623}">
          <xlrd:rvb i="300"/>
        </ext>
      </extLst>
    </bk>
    <bk>
      <extLst>
        <ext uri="{3e2802c4-a4d2-4d8b-9148-e3be6c30e623}">
          <xlrd:rvb i="301"/>
        </ext>
      </extLst>
    </bk>
    <bk>
      <extLst>
        <ext uri="{3e2802c4-a4d2-4d8b-9148-e3be6c30e623}">
          <xlrd:rvb i="302"/>
        </ext>
      </extLst>
    </bk>
    <bk>
      <extLst>
        <ext uri="{3e2802c4-a4d2-4d8b-9148-e3be6c30e623}">
          <xlrd:rvb i="303"/>
        </ext>
      </extLst>
    </bk>
    <bk>
      <extLst>
        <ext uri="{3e2802c4-a4d2-4d8b-9148-e3be6c30e623}">
          <xlrd:rvb i="304"/>
        </ext>
      </extLst>
    </bk>
    <bk>
      <extLst>
        <ext uri="{3e2802c4-a4d2-4d8b-9148-e3be6c30e623}">
          <xlrd:rvb i="305"/>
        </ext>
      </extLst>
    </bk>
    <bk>
      <extLst>
        <ext uri="{3e2802c4-a4d2-4d8b-9148-e3be6c30e623}">
          <xlrd:rvb i="306"/>
        </ext>
      </extLst>
    </bk>
    <bk>
      <extLst>
        <ext uri="{3e2802c4-a4d2-4d8b-9148-e3be6c30e623}">
          <xlrd:rvb i="307"/>
        </ext>
      </extLst>
    </bk>
    <bk>
      <extLst>
        <ext uri="{3e2802c4-a4d2-4d8b-9148-e3be6c30e623}">
          <xlrd:rvb i="308"/>
        </ext>
      </extLst>
    </bk>
    <bk>
      <extLst>
        <ext uri="{3e2802c4-a4d2-4d8b-9148-e3be6c30e623}">
          <xlrd:rvb i="309"/>
        </ext>
      </extLst>
    </bk>
    <bk>
      <extLst>
        <ext uri="{3e2802c4-a4d2-4d8b-9148-e3be6c30e623}">
          <xlrd:rvb i="310"/>
        </ext>
      </extLst>
    </bk>
    <bk>
      <extLst>
        <ext uri="{3e2802c4-a4d2-4d8b-9148-e3be6c30e623}">
          <xlrd:rvb i="311"/>
        </ext>
      </extLst>
    </bk>
    <bk>
      <extLst>
        <ext uri="{3e2802c4-a4d2-4d8b-9148-e3be6c30e623}">
          <xlrd:rvb i="312"/>
        </ext>
      </extLst>
    </bk>
    <bk>
      <extLst>
        <ext uri="{3e2802c4-a4d2-4d8b-9148-e3be6c30e623}">
          <xlrd:rvb i="313"/>
        </ext>
      </extLst>
    </bk>
    <bk>
      <extLst>
        <ext uri="{3e2802c4-a4d2-4d8b-9148-e3be6c30e623}">
          <xlrd:rvb i="314"/>
        </ext>
      </extLst>
    </bk>
    <bk>
      <extLst>
        <ext uri="{3e2802c4-a4d2-4d8b-9148-e3be6c30e623}">
          <xlrd:rvb i="315"/>
        </ext>
      </extLst>
    </bk>
    <bk>
      <extLst>
        <ext uri="{3e2802c4-a4d2-4d8b-9148-e3be6c30e623}">
          <xlrd:rvb i="316"/>
        </ext>
      </extLst>
    </bk>
    <bk>
      <extLst>
        <ext uri="{3e2802c4-a4d2-4d8b-9148-e3be6c30e623}">
          <xlrd:rvb i="317"/>
        </ext>
      </extLst>
    </bk>
    <bk>
      <extLst>
        <ext uri="{3e2802c4-a4d2-4d8b-9148-e3be6c30e623}">
          <xlrd:rvb i="318"/>
        </ext>
      </extLst>
    </bk>
    <bk>
      <extLst>
        <ext uri="{3e2802c4-a4d2-4d8b-9148-e3be6c30e623}">
          <xlrd:rvb i="319"/>
        </ext>
      </extLst>
    </bk>
    <bk>
      <extLst>
        <ext uri="{3e2802c4-a4d2-4d8b-9148-e3be6c30e623}">
          <xlrd:rvb i="320"/>
        </ext>
      </extLst>
    </bk>
    <bk>
      <extLst>
        <ext uri="{3e2802c4-a4d2-4d8b-9148-e3be6c30e623}">
          <xlrd:rvb i="321"/>
        </ext>
      </extLst>
    </bk>
    <bk>
      <extLst>
        <ext uri="{3e2802c4-a4d2-4d8b-9148-e3be6c30e623}">
          <xlrd:rvb i="322"/>
        </ext>
      </extLst>
    </bk>
    <bk>
      <extLst>
        <ext uri="{3e2802c4-a4d2-4d8b-9148-e3be6c30e623}">
          <xlrd:rvb i="323"/>
        </ext>
      </extLst>
    </bk>
    <bk>
      <extLst>
        <ext uri="{3e2802c4-a4d2-4d8b-9148-e3be6c30e623}">
          <xlrd:rvb i="324"/>
        </ext>
      </extLst>
    </bk>
    <bk>
      <extLst>
        <ext uri="{3e2802c4-a4d2-4d8b-9148-e3be6c30e623}">
          <xlrd:rvb i="325"/>
        </ext>
      </extLst>
    </bk>
    <bk>
      <extLst>
        <ext uri="{3e2802c4-a4d2-4d8b-9148-e3be6c30e623}">
          <xlrd:rvb i="326"/>
        </ext>
      </extLst>
    </bk>
    <bk>
      <extLst>
        <ext uri="{3e2802c4-a4d2-4d8b-9148-e3be6c30e623}">
          <xlrd:rvb i="327"/>
        </ext>
      </extLst>
    </bk>
    <bk>
      <extLst>
        <ext uri="{3e2802c4-a4d2-4d8b-9148-e3be6c30e623}">
          <xlrd:rvb i="328"/>
        </ext>
      </extLst>
    </bk>
    <bk>
      <extLst>
        <ext uri="{3e2802c4-a4d2-4d8b-9148-e3be6c30e623}">
          <xlrd:rvb i="329"/>
        </ext>
      </extLst>
    </bk>
    <bk>
      <extLst>
        <ext uri="{3e2802c4-a4d2-4d8b-9148-e3be6c30e623}">
          <xlrd:rvb i="330"/>
        </ext>
      </extLst>
    </bk>
    <bk>
      <extLst>
        <ext uri="{3e2802c4-a4d2-4d8b-9148-e3be6c30e623}">
          <xlrd:rvb i="331"/>
        </ext>
      </extLst>
    </bk>
    <bk>
      <extLst>
        <ext uri="{3e2802c4-a4d2-4d8b-9148-e3be6c30e623}">
          <xlrd:rvb i="332"/>
        </ext>
      </extLst>
    </bk>
    <bk>
      <extLst>
        <ext uri="{3e2802c4-a4d2-4d8b-9148-e3be6c30e623}">
          <xlrd:rvb i="333"/>
        </ext>
      </extLst>
    </bk>
    <bk>
      <extLst>
        <ext uri="{3e2802c4-a4d2-4d8b-9148-e3be6c30e623}">
          <xlrd:rvb i="334"/>
        </ext>
      </extLst>
    </bk>
    <bk>
      <extLst>
        <ext uri="{3e2802c4-a4d2-4d8b-9148-e3be6c30e623}">
          <xlrd:rvb i="335"/>
        </ext>
      </extLst>
    </bk>
    <bk>
      <extLst>
        <ext uri="{3e2802c4-a4d2-4d8b-9148-e3be6c30e623}">
          <xlrd:rvb i="336"/>
        </ext>
      </extLst>
    </bk>
    <bk>
      <extLst>
        <ext uri="{3e2802c4-a4d2-4d8b-9148-e3be6c30e623}">
          <xlrd:rvb i="337"/>
        </ext>
      </extLst>
    </bk>
    <bk>
      <extLst>
        <ext uri="{3e2802c4-a4d2-4d8b-9148-e3be6c30e623}">
          <xlrd:rvb i="338"/>
        </ext>
      </extLst>
    </bk>
    <bk>
      <extLst>
        <ext uri="{3e2802c4-a4d2-4d8b-9148-e3be6c30e623}">
          <xlrd:rvb i="339"/>
        </ext>
      </extLst>
    </bk>
    <bk>
      <extLst>
        <ext uri="{3e2802c4-a4d2-4d8b-9148-e3be6c30e623}">
          <xlrd:rvb i="340"/>
        </ext>
      </extLst>
    </bk>
    <bk>
      <extLst>
        <ext uri="{3e2802c4-a4d2-4d8b-9148-e3be6c30e623}">
          <xlrd:rvb i="341"/>
        </ext>
      </extLst>
    </bk>
    <bk>
      <extLst>
        <ext uri="{3e2802c4-a4d2-4d8b-9148-e3be6c30e623}">
          <xlrd:rvb i="342"/>
        </ext>
      </extLst>
    </bk>
    <bk>
      <extLst>
        <ext uri="{3e2802c4-a4d2-4d8b-9148-e3be6c30e623}">
          <xlrd:rvb i="343"/>
        </ext>
      </extLst>
    </bk>
    <bk>
      <extLst>
        <ext uri="{3e2802c4-a4d2-4d8b-9148-e3be6c30e623}">
          <xlrd:rvb i="344"/>
        </ext>
      </extLst>
    </bk>
    <bk>
      <extLst>
        <ext uri="{3e2802c4-a4d2-4d8b-9148-e3be6c30e623}">
          <xlrd:rvb i="345"/>
        </ext>
      </extLst>
    </bk>
    <bk>
      <extLst>
        <ext uri="{3e2802c4-a4d2-4d8b-9148-e3be6c30e623}">
          <xlrd:rvb i="346"/>
        </ext>
      </extLst>
    </bk>
    <bk>
      <extLst>
        <ext uri="{3e2802c4-a4d2-4d8b-9148-e3be6c30e623}">
          <xlrd:rvb i="347"/>
        </ext>
      </extLst>
    </bk>
    <bk>
      <extLst>
        <ext uri="{3e2802c4-a4d2-4d8b-9148-e3be6c30e623}">
          <xlrd:rvb i="348"/>
        </ext>
      </extLst>
    </bk>
    <bk>
      <extLst>
        <ext uri="{3e2802c4-a4d2-4d8b-9148-e3be6c30e623}">
          <xlrd:rvb i="349"/>
        </ext>
      </extLst>
    </bk>
    <bk>
      <extLst>
        <ext uri="{3e2802c4-a4d2-4d8b-9148-e3be6c30e623}">
          <xlrd:rvb i="350"/>
        </ext>
      </extLst>
    </bk>
    <bk>
      <extLst>
        <ext uri="{3e2802c4-a4d2-4d8b-9148-e3be6c30e623}">
          <xlrd:rvb i="351"/>
        </ext>
      </extLst>
    </bk>
    <bk>
      <extLst>
        <ext uri="{3e2802c4-a4d2-4d8b-9148-e3be6c30e623}">
          <xlrd:rvb i="352"/>
        </ext>
      </extLst>
    </bk>
    <bk>
      <extLst>
        <ext uri="{3e2802c4-a4d2-4d8b-9148-e3be6c30e623}">
          <xlrd:rvb i="353"/>
        </ext>
      </extLst>
    </bk>
    <bk>
      <extLst>
        <ext uri="{3e2802c4-a4d2-4d8b-9148-e3be6c30e623}">
          <xlrd:rvb i="354"/>
        </ext>
      </extLst>
    </bk>
    <bk>
      <extLst>
        <ext uri="{3e2802c4-a4d2-4d8b-9148-e3be6c30e623}">
          <xlrd:rvb i="355"/>
        </ext>
      </extLst>
    </bk>
    <bk>
      <extLst>
        <ext uri="{3e2802c4-a4d2-4d8b-9148-e3be6c30e623}">
          <xlrd:rvb i="356"/>
        </ext>
      </extLst>
    </bk>
    <bk>
      <extLst>
        <ext uri="{3e2802c4-a4d2-4d8b-9148-e3be6c30e623}">
          <xlrd:rvb i="357"/>
        </ext>
      </extLst>
    </bk>
    <bk>
      <extLst>
        <ext uri="{3e2802c4-a4d2-4d8b-9148-e3be6c30e623}">
          <xlrd:rvb i="358"/>
        </ext>
      </extLst>
    </bk>
    <bk>
      <extLst>
        <ext uri="{3e2802c4-a4d2-4d8b-9148-e3be6c30e623}">
          <xlrd:rvb i="359"/>
        </ext>
      </extLst>
    </bk>
    <bk>
      <extLst>
        <ext uri="{3e2802c4-a4d2-4d8b-9148-e3be6c30e623}">
          <xlrd:rvb i="360"/>
        </ext>
      </extLst>
    </bk>
    <bk>
      <extLst>
        <ext uri="{3e2802c4-a4d2-4d8b-9148-e3be6c30e623}">
          <xlrd:rvb i="361"/>
        </ext>
      </extLst>
    </bk>
    <bk>
      <extLst>
        <ext uri="{3e2802c4-a4d2-4d8b-9148-e3be6c30e623}">
          <xlrd:rvb i="362"/>
        </ext>
      </extLst>
    </bk>
    <bk>
      <extLst>
        <ext uri="{3e2802c4-a4d2-4d8b-9148-e3be6c30e623}">
          <xlrd:rvb i="363"/>
        </ext>
      </extLst>
    </bk>
    <bk>
      <extLst>
        <ext uri="{3e2802c4-a4d2-4d8b-9148-e3be6c30e623}">
          <xlrd:rvb i="364"/>
        </ext>
      </extLst>
    </bk>
    <bk>
      <extLst>
        <ext uri="{3e2802c4-a4d2-4d8b-9148-e3be6c30e623}">
          <xlrd:rvb i="365"/>
        </ext>
      </extLst>
    </bk>
    <bk>
      <extLst>
        <ext uri="{3e2802c4-a4d2-4d8b-9148-e3be6c30e623}">
          <xlrd:rvb i="366"/>
        </ext>
      </extLst>
    </bk>
    <bk>
      <extLst>
        <ext uri="{3e2802c4-a4d2-4d8b-9148-e3be6c30e623}">
          <xlrd:rvb i="367"/>
        </ext>
      </extLst>
    </bk>
    <bk>
      <extLst>
        <ext uri="{3e2802c4-a4d2-4d8b-9148-e3be6c30e623}">
          <xlrd:rvb i="368"/>
        </ext>
      </extLst>
    </bk>
    <bk>
      <extLst>
        <ext uri="{3e2802c4-a4d2-4d8b-9148-e3be6c30e623}">
          <xlrd:rvb i="369"/>
        </ext>
      </extLst>
    </bk>
    <bk>
      <extLst>
        <ext uri="{3e2802c4-a4d2-4d8b-9148-e3be6c30e623}">
          <xlrd:rvb i="370"/>
        </ext>
      </extLst>
    </bk>
    <bk>
      <extLst>
        <ext uri="{3e2802c4-a4d2-4d8b-9148-e3be6c30e623}">
          <xlrd:rvb i="371"/>
        </ext>
      </extLst>
    </bk>
    <bk>
      <extLst>
        <ext uri="{3e2802c4-a4d2-4d8b-9148-e3be6c30e623}">
          <xlrd:rvb i="372"/>
        </ext>
      </extLst>
    </bk>
    <bk>
      <extLst>
        <ext uri="{3e2802c4-a4d2-4d8b-9148-e3be6c30e623}">
          <xlrd:rvb i="373"/>
        </ext>
      </extLst>
    </bk>
    <bk>
      <extLst>
        <ext uri="{3e2802c4-a4d2-4d8b-9148-e3be6c30e623}">
          <xlrd:rvb i="374"/>
        </ext>
      </extLst>
    </bk>
    <bk>
      <extLst>
        <ext uri="{3e2802c4-a4d2-4d8b-9148-e3be6c30e623}">
          <xlrd:rvb i="375"/>
        </ext>
      </extLst>
    </bk>
    <bk>
      <extLst>
        <ext uri="{3e2802c4-a4d2-4d8b-9148-e3be6c30e623}">
          <xlrd:rvb i="376"/>
        </ext>
      </extLst>
    </bk>
    <bk>
      <extLst>
        <ext uri="{3e2802c4-a4d2-4d8b-9148-e3be6c30e623}">
          <xlrd:rvb i="377"/>
        </ext>
      </extLst>
    </bk>
    <bk>
      <extLst>
        <ext uri="{3e2802c4-a4d2-4d8b-9148-e3be6c30e623}">
          <xlrd:rvb i="378"/>
        </ext>
      </extLst>
    </bk>
    <bk>
      <extLst>
        <ext uri="{3e2802c4-a4d2-4d8b-9148-e3be6c30e623}">
          <xlrd:rvb i="379"/>
        </ext>
      </extLst>
    </bk>
    <bk>
      <extLst>
        <ext uri="{3e2802c4-a4d2-4d8b-9148-e3be6c30e623}">
          <xlrd:rvb i="380"/>
        </ext>
      </extLst>
    </bk>
    <bk>
      <extLst>
        <ext uri="{3e2802c4-a4d2-4d8b-9148-e3be6c30e623}">
          <xlrd:rvb i="381"/>
        </ext>
      </extLst>
    </bk>
    <bk>
      <extLst>
        <ext uri="{3e2802c4-a4d2-4d8b-9148-e3be6c30e623}">
          <xlrd:rvb i="382"/>
        </ext>
      </extLst>
    </bk>
    <bk>
      <extLst>
        <ext uri="{3e2802c4-a4d2-4d8b-9148-e3be6c30e623}">
          <xlrd:rvb i="383"/>
        </ext>
      </extLst>
    </bk>
    <bk>
      <extLst>
        <ext uri="{3e2802c4-a4d2-4d8b-9148-e3be6c30e623}">
          <xlrd:rvb i="384"/>
        </ext>
      </extLst>
    </bk>
    <bk>
      <extLst>
        <ext uri="{3e2802c4-a4d2-4d8b-9148-e3be6c30e623}">
          <xlrd:rvb i="385"/>
        </ext>
      </extLst>
    </bk>
    <bk>
      <extLst>
        <ext uri="{3e2802c4-a4d2-4d8b-9148-e3be6c30e623}">
          <xlrd:rvb i="386"/>
        </ext>
      </extLst>
    </bk>
    <bk>
      <extLst>
        <ext uri="{3e2802c4-a4d2-4d8b-9148-e3be6c30e623}">
          <xlrd:rvb i="387"/>
        </ext>
      </extLst>
    </bk>
    <bk>
      <extLst>
        <ext uri="{3e2802c4-a4d2-4d8b-9148-e3be6c30e623}">
          <xlrd:rvb i="388"/>
        </ext>
      </extLst>
    </bk>
    <bk>
      <extLst>
        <ext uri="{3e2802c4-a4d2-4d8b-9148-e3be6c30e623}">
          <xlrd:rvb i="389"/>
        </ext>
      </extLst>
    </bk>
    <bk>
      <extLst>
        <ext uri="{3e2802c4-a4d2-4d8b-9148-e3be6c30e623}">
          <xlrd:rvb i="390"/>
        </ext>
      </extLst>
    </bk>
    <bk>
      <extLst>
        <ext uri="{3e2802c4-a4d2-4d8b-9148-e3be6c30e623}">
          <xlrd:rvb i="391"/>
        </ext>
      </extLst>
    </bk>
    <bk>
      <extLst>
        <ext uri="{3e2802c4-a4d2-4d8b-9148-e3be6c30e623}">
          <xlrd:rvb i="392"/>
        </ext>
      </extLst>
    </bk>
    <bk>
      <extLst>
        <ext uri="{3e2802c4-a4d2-4d8b-9148-e3be6c30e623}">
          <xlrd:rvb i="393"/>
        </ext>
      </extLst>
    </bk>
    <bk>
      <extLst>
        <ext uri="{3e2802c4-a4d2-4d8b-9148-e3be6c30e623}">
          <xlrd:rvb i="394"/>
        </ext>
      </extLst>
    </bk>
    <bk>
      <extLst>
        <ext uri="{3e2802c4-a4d2-4d8b-9148-e3be6c30e623}">
          <xlrd:rvb i="395"/>
        </ext>
      </extLst>
    </bk>
    <bk>
      <extLst>
        <ext uri="{3e2802c4-a4d2-4d8b-9148-e3be6c30e623}">
          <xlrd:rvb i="396"/>
        </ext>
      </extLst>
    </bk>
    <bk>
      <extLst>
        <ext uri="{3e2802c4-a4d2-4d8b-9148-e3be6c30e623}">
          <xlrd:rvb i="397"/>
        </ext>
      </extLst>
    </bk>
    <bk>
      <extLst>
        <ext uri="{3e2802c4-a4d2-4d8b-9148-e3be6c30e623}">
          <xlrd:rvb i="398"/>
        </ext>
      </extLst>
    </bk>
    <bk>
      <extLst>
        <ext uri="{3e2802c4-a4d2-4d8b-9148-e3be6c30e623}">
          <xlrd:rvb i="399"/>
        </ext>
      </extLst>
    </bk>
    <bk>
      <extLst>
        <ext uri="{3e2802c4-a4d2-4d8b-9148-e3be6c30e623}">
          <xlrd:rvb i="400"/>
        </ext>
      </extLst>
    </bk>
    <bk>
      <extLst>
        <ext uri="{3e2802c4-a4d2-4d8b-9148-e3be6c30e623}">
          <xlrd:rvb i="401"/>
        </ext>
      </extLst>
    </bk>
    <bk>
      <extLst>
        <ext uri="{3e2802c4-a4d2-4d8b-9148-e3be6c30e623}">
          <xlrd:rvb i="402"/>
        </ext>
      </extLst>
    </bk>
    <bk>
      <extLst>
        <ext uri="{3e2802c4-a4d2-4d8b-9148-e3be6c30e623}">
          <xlrd:rvb i="403"/>
        </ext>
      </extLst>
    </bk>
    <bk>
      <extLst>
        <ext uri="{3e2802c4-a4d2-4d8b-9148-e3be6c30e623}">
          <xlrd:rvb i="404"/>
        </ext>
      </extLst>
    </bk>
    <bk>
      <extLst>
        <ext uri="{3e2802c4-a4d2-4d8b-9148-e3be6c30e623}">
          <xlrd:rvb i="405"/>
        </ext>
      </extLst>
    </bk>
    <bk>
      <extLst>
        <ext uri="{3e2802c4-a4d2-4d8b-9148-e3be6c30e623}">
          <xlrd:rvb i="406"/>
        </ext>
      </extLst>
    </bk>
    <bk>
      <extLst>
        <ext uri="{3e2802c4-a4d2-4d8b-9148-e3be6c30e623}">
          <xlrd:rvb i="407"/>
        </ext>
      </extLst>
    </bk>
    <bk>
      <extLst>
        <ext uri="{3e2802c4-a4d2-4d8b-9148-e3be6c30e623}">
          <xlrd:rvb i="408"/>
        </ext>
      </extLst>
    </bk>
    <bk>
      <extLst>
        <ext uri="{3e2802c4-a4d2-4d8b-9148-e3be6c30e623}">
          <xlrd:rvb i="409"/>
        </ext>
      </extLst>
    </bk>
    <bk>
      <extLst>
        <ext uri="{3e2802c4-a4d2-4d8b-9148-e3be6c30e623}">
          <xlrd:rvb i="410"/>
        </ext>
      </extLst>
    </bk>
    <bk>
      <extLst>
        <ext uri="{3e2802c4-a4d2-4d8b-9148-e3be6c30e623}">
          <xlrd:rvb i="411"/>
        </ext>
      </extLst>
    </bk>
    <bk>
      <extLst>
        <ext uri="{3e2802c4-a4d2-4d8b-9148-e3be6c30e623}">
          <xlrd:rvb i="412"/>
        </ext>
      </extLst>
    </bk>
    <bk>
      <extLst>
        <ext uri="{3e2802c4-a4d2-4d8b-9148-e3be6c30e623}">
          <xlrd:rvb i="413"/>
        </ext>
      </extLst>
    </bk>
    <bk>
      <extLst>
        <ext uri="{3e2802c4-a4d2-4d8b-9148-e3be6c30e623}">
          <xlrd:rvb i="414"/>
        </ext>
      </extLst>
    </bk>
    <bk>
      <extLst>
        <ext uri="{3e2802c4-a4d2-4d8b-9148-e3be6c30e623}">
          <xlrd:rvb i="415"/>
        </ext>
      </extLst>
    </bk>
    <bk>
      <extLst>
        <ext uri="{3e2802c4-a4d2-4d8b-9148-e3be6c30e623}">
          <xlrd:rvb i="416"/>
        </ext>
      </extLst>
    </bk>
    <bk>
      <extLst>
        <ext uri="{3e2802c4-a4d2-4d8b-9148-e3be6c30e623}">
          <xlrd:rvb i="417"/>
        </ext>
      </extLst>
    </bk>
    <bk>
      <extLst>
        <ext uri="{3e2802c4-a4d2-4d8b-9148-e3be6c30e623}">
          <xlrd:rvb i="418"/>
        </ext>
      </extLst>
    </bk>
    <bk>
      <extLst>
        <ext uri="{3e2802c4-a4d2-4d8b-9148-e3be6c30e623}">
          <xlrd:rvb i="419"/>
        </ext>
      </extLst>
    </bk>
    <bk>
      <extLst>
        <ext uri="{3e2802c4-a4d2-4d8b-9148-e3be6c30e623}">
          <xlrd:rvb i="420"/>
        </ext>
      </extLst>
    </bk>
    <bk>
      <extLst>
        <ext uri="{3e2802c4-a4d2-4d8b-9148-e3be6c30e623}">
          <xlrd:rvb i="421"/>
        </ext>
      </extLst>
    </bk>
    <bk>
      <extLst>
        <ext uri="{3e2802c4-a4d2-4d8b-9148-e3be6c30e623}">
          <xlrd:rvb i="422"/>
        </ext>
      </extLst>
    </bk>
    <bk>
      <extLst>
        <ext uri="{3e2802c4-a4d2-4d8b-9148-e3be6c30e623}">
          <xlrd:rvb i="423"/>
        </ext>
      </extLst>
    </bk>
    <bk>
      <extLst>
        <ext uri="{3e2802c4-a4d2-4d8b-9148-e3be6c30e623}">
          <xlrd:rvb i="424"/>
        </ext>
      </extLst>
    </bk>
    <bk>
      <extLst>
        <ext uri="{3e2802c4-a4d2-4d8b-9148-e3be6c30e623}">
          <xlrd:rvb i="425"/>
        </ext>
      </extLst>
    </bk>
    <bk>
      <extLst>
        <ext uri="{3e2802c4-a4d2-4d8b-9148-e3be6c30e623}">
          <xlrd:rvb i="426"/>
        </ext>
      </extLst>
    </bk>
    <bk>
      <extLst>
        <ext uri="{3e2802c4-a4d2-4d8b-9148-e3be6c30e623}">
          <xlrd:rvb i="427"/>
        </ext>
      </extLst>
    </bk>
    <bk>
      <extLst>
        <ext uri="{3e2802c4-a4d2-4d8b-9148-e3be6c30e623}">
          <xlrd:rvb i="428"/>
        </ext>
      </extLst>
    </bk>
    <bk>
      <extLst>
        <ext uri="{3e2802c4-a4d2-4d8b-9148-e3be6c30e623}">
          <xlrd:rvb i="429"/>
        </ext>
      </extLst>
    </bk>
    <bk>
      <extLst>
        <ext uri="{3e2802c4-a4d2-4d8b-9148-e3be6c30e623}">
          <xlrd:rvb i="430"/>
        </ext>
      </extLst>
    </bk>
    <bk>
      <extLst>
        <ext uri="{3e2802c4-a4d2-4d8b-9148-e3be6c30e623}">
          <xlrd:rvb i="431"/>
        </ext>
      </extLst>
    </bk>
    <bk>
      <extLst>
        <ext uri="{3e2802c4-a4d2-4d8b-9148-e3be6c30e623}">
          <xlrd:rvb i="432"/>
        </ext>
      </extLst>
    </bk>
    <bk>
      <extLst>
        <ext uri="{3e2802c4-a4d2-4d8b-9148-e3be6c30e623}">
          <xlrd:rvb i="433"/>
        </ext>
      </extLst>
    </bk>
    <bk>
      <extLst>
        <ext uri="{3e2802c4-a4d2-4d8b-9148-e3be6c30e623}">
          <xlrd:rvb i="434"/>
        </ext>
      </extLst>
    </bk>
    <bk>
      <extLst>
        <ext uri="{3e2802c4-a4d2-4d8b-9148-e3be6c30e623}">
          <xlrd:rvb i="435"/>
        </ext>
      </extLst>
    </bk>
    <bk>
      <extLst>
        <ext uri="{3e2802c4-a4d2-4d8b-9148-e3be6c30e623}">
          <xlrd:rvb i="436"/>
        </ext>
      </extLst>
    </bk>
    <bk>
      <extLst>
        <ext uri="{3e2802c4-a4d2-4d8b-9148-e3be6c30e623}">
          <xlrd:rvb i="437"/>
        </ext>
      </extLst>
    </bk>
    <bk>
      <extLst>
        <ext uri="{3e2802c4-a4d2-4d8b-9148-e3be6c30e623}">
          <xlrd:rvb i="438"/>
        </ext>
      </extLst>
    </bk>
    <bk>
      <extLst>
        <ext uri="{3e2802c4-a4d2-4d8b-9148-e3be6c30e623}">
          <xlrd:rvb i="439"/>
        </ext>
      </extLst>
    </bk>
    <bk>
      <extLst>
        <ext uri="{3e2802c4-a4d2-4d8b-9148-e3be6c30e623}">
          <xlrd:rvb i="440"/>
        </ext>
      </extLst>
    </bk>
    <bk>
      <extLst>
        <ext uri="{3e2802c4-a4d2-4d8b-9148-e3be6c30e623}">
          <xlrd:rvb i="441"/>
        </ext>
      </extLst>
    </bk>
    <bk>
      <extLst>
        <ext uri="{3e2802c4-a4d2-4d8b-9148-e3be6c30e623}">
          <xlrd:rvb i="442"/>
        </ext>
      </extLst>
    </bk>
    <bk>
      <extLst>
        <ext uri="{3e2802c4-a4d2-4d8b-9148-e3be6c30e623}">
          <xlrd:rvb i="443"/>
        </ext>
      </extLst>
    </bk>
    <bk>
      <extLst>
        <ext uri="{3e2802c4-a4d2-4d8b-9148-e3be6c30e623}">
          <xlrd:rvb i="444"/>
        </ext>
      </extLst>
    </bk>
    <bk>
      <extLst>
        <ext uri="{3e2802c4-a4d2-4d8b-9148-e3be6c30e623}">
          <xlrd:rvb i="445"/>
        </ext>
      </extLst>
    </bk>
    <bk>
      <extLst>
        <ext uri="{3e2802c4-a4d2-4d8b-9148-e3be6c30e623}">
          <xlrd:rvb i="446"/>
        </ext>
      </extLst>
    </bk>
    <bk>
      <extLst>
        <ext uri="{3e2802c4-a4d2-4d8b-9148-e3be6c30e623}">
          <xlrd:rvb i="447"/>
        </ext>
      </extLst>
    </bk>
    <bk>
      <extLst>
        <ext uri="{3e2802c4-a4d2-4d8b-9148-e3be6c30e623}">
          <xlrd:rvb i="448"/>
        </ext>
      </extLst>
    </bk>
    <bk>
      <extLst>
        <ext uri="{3e2802c4-a4d2-4d8b-9148-e3be6c30e623}">
          <xlrd:rvb i="449"/>
        </ext>
      </extLst>
    </bk>
    <bk>
      <extLst>
        <ext uri="{3e2802c4-a4d2-4d8b-9148-e3be6c30e623}">
          <xlrd:rvb i="450"/>
        </ext>
      </extLst>
    </bk>
    <bk>
      <extLst>
        <ext uri="{3e2802c4-a4d2-4d8b-9148-e3be6c30e623}">
          <xlrd:rvb i="451"/>
        </ext>
      </extLst>
    </bk>
    <bk>
      <extLst>
        <ext uri="{3e2802c4-a4d2-4d8b-9148-e3be6c30e623}">
          <xlrd:rvb i="452"/>
        </ext>
      </extLst>
    </bk>
    <bk>
      <extLst>
        <ext uri="{3e2802c4-a4d2-4d8b-9148-e3be6c30e623}">
          <xlrd:rvb i="453"/>
        </ext>
      </extLst>
    </bk>
    <bk>
      <extLst>
        <ext uri="{3e2802c4-a4d2-4d8b-9148-e3be6c30e623}">
          <xlrd:rvb i="454"/>
        </ext>
      </extLst>
    </bk>
    <bk>
      <extLst>
        <ext uri="{3e2802c4-a4d2-4d8b-9148-e3be6c30e623}">
          <xlrd:rvb i="455"/>
        </ext>
      </extLst>
    </bk>
    <bk>
      <extLst>
        <ext uri="{3e2802c4-a4d2-4d8b-9148-e3be6c30e623}">
          <xlrd:rvb i="456"/>
        </ext>
      </extLst>
    </bk>
    <bk>
      <extLst>
        <ext uri="{3e2802c4-a4d2-4d8b-9148-e3be6c30e623}">
          <xlrd:rvb i="457"/>
        </ext>
      </extLst>
    </bk>
    <bk>
      <extLst>
        <ext uri="{3e2802c4-a4d2-4d8b-9148-e3be6c30e623}">
          <xlrd:rvb i="458"/>
        </ext>
      </extLst>
    </bk>
    <bk>
      <extLst>
        <ext uri="{3e2802c4-a4d2-4d8b-9148-e3be6c30e623}">
          <xlrd:rvb i="459"/>
        </ext>
      </extLst>
    </bk>
    <bk>
      <extLst>
        <ext uri="{3e2802c4-a4d2-4d8b-9148-e3be6c30e623}">
          <xlrd:rvb i="460"/>
        </ext>
      </extLst>
    </bk>
    <bk>
      <extLst>
        <ext uri="{3e2802c4-a4d2-4d8b-9148-e3be6c30e623}">
          <xlrd:rvb i="461"/>
        </ext>
      </extLst>
    </bk>
    <bk>
      <extLst>
        <ext uri="{3e2802c4-a4d2-4d8b-9148-e3be6c30e623}">
          <xlrd:rvb i="462"/>
        </ext>
      </extLst>
    </bk>
    <bk>
      <extLst>
        <ext uri="{3e2802c4-a4d2-4d8b-9148-e3be6c30e623}">
          <xlrd:rvb i="463"/>
        </ext>
      </extLst>
    </bk>
    <bk>
      <extLst>
        <ext uri="{3e2802c4-a4d2-4d8b-9148-e3be6c30e623}">
          <xlrd:rvb i="464"/>
        </ext>
      </extLst>
    </bk>
    <bk>
      <extLst>
        <ext uri="{3e2802c4-a4d2-4d8b-9148-e3be6c30e623}">
          <xlrd:rvb i="465"/>
        </ext>
      </extLst>
    </bk>
    <bk>
      <extLst>
        <ext uri="{3e2802c4-a4d2-4d8b-9148-e3be6c30e623}">
          <xlrd:rvb i="466"/>
        </ext>
      </extLst>
    </bk>
    <bk>
      <extLst>
        <ext uri="{3e2802c4-a4d2-4d8b-9148-e3be6c30e623}">
          <xlrd:rvb i="467"/>
        </ext>
      </extLst>
    </bk>
    <bk>
      <extLst>
        <ext uri="{3e2802c4-a4d2-4d8b-9148-e3be6c30e623}">
          <xlrd:rvb i="468"/>
        </ext>
      </extLst>
    </bk>
    <bk>
      <extLst>
        <ext uri="{3e2802c4-a4d2-4d8b-9148-e3be6c30e623}">
          <xlrd:rvb i="469"/>
        </ext>
      </extLst>
    </bk>
    <bk>
      <extLst>
        <ext uri="{3e2802c4-a4d2-4d8b-9148-e3be6c30e623}">
          <xlrd:rvb i="470"/>
        </ext>
      </extLst>
    </bk>
    <bk>
      <extLst>
        <ext uri="{3e2802c4-a4d2-4d8b-9148-e3be6c30e623}">
          <xlrd:rvb i="471"/>
        </ext>
      </extLst>
    </bk>
    <bk>
      <extLst>
        <ext uri="{3e2802c4-a4d2-4d8b-9148-e3be6c30e623}">
          <xlrd:rvb i="472"/>
        </ext>
      </extLst>
    </bk>
    <bk>
      <extLst>
        <ext uri="{3e2802c4-a4d2-4d8b-9148-e3be6c30e623}">
          <xlrd:rvb i="473"/>
        </ext>
      </extLst>
    </bk>
    <bk>
      <extLst>
        <ext uri="{3e2802c4-a4d2-4d8b-9148-e3be6c30e623}">
          <xlrd:rvb i="474"/>
        </ext>
      </extLst>
    </bk>
    <bk>
      <extLst>
        <ext uri="{3e2802c4-a4d2-4d8b-9148-e3be6c30e623}">
          <xlrd:rvb i="475"/>
        </ext>
      </extLst>
    </bk>
    <bk>
      <extLst>
        <ext uri="{3e2802c4-a4d2-4d8b-9148-e3be6c30e623}">
          <xlrd:rvb i="476"/>
        </ext>
      </extLst>
    </bk>
    <bk>
      <extLst>
        <ext uri="{3e2802c4-a4d2-4d8b-9148-e3be6c30e623}">
          <xlrd:rvb i="477"/>
        </ext>
      </extLst>
    </bk>
    <bk>
      <extLst>
        <ext uri="{3e2802c4-a4d2-4d8b-9148-e3be6c30e623}">
          <xlrd:rvb i="478"/>
        </ext>
      </extLst>
    </bk>
    <bk>
      <extLst>
        <ext uri="{3e2802c4-a4d2-4d8b-9148-e3be6c30e623}">
          <xlrd:rvb i="479"/>
        </ext>
      </extLst>
    </bk>
    <bk>
      <extLst>
        <ext uri="{3e2802c4-a4d2-4d8b-9148-e3be6c30e623}">
          <xlrd:rvb i="480"/>
        </ext>
      </extLst>
    </bk>
    <bk>
      <extLst>
        <ext uri="{3e2802c4-a4d2-4d8b-9148-e3be6c30e623}">
          <xlrd:rvb i="481"/>
        </ext>
      </extLst>
    </bk>
    <bk>
      <extLst>
        <ext uri="{3e2802c4-a4d2-4d8b-9148-e3be6c30e623}">
          <xlrd:rvb i="482"/>
        </ext>
      </extLst>
    </bk>
    <bk>
      <extLst>
        <ext uri="{3e2802c4-a4d2-4d8b-9148-e3be6c30e623}">
          <xlrd:rvb i="483"/>
        </ext>
      </extLst>
    </bk>
    <bk>
      <extLst>
        <ext uri="{3e2802c4-a4d2-4d8b-9148-e3be6c30e623}">
          <xlrd:rvb i="484"/>
        </ext>
      </extLst>
    </bk>
    <bk>
      <extLst>
        <ext uri="{3e2802c4-a4d2-4d8b-9148-e3be6c30e623}">
          <xlrd:rvb i="485"/>
        </ext>
      </extLst>
    </bk>
    <bk>
      <extLst>
        <ext uri="{3e2802c4-a4d2-4d8b-9148-e3be6c30e623}">
          <xlrd:rvb i="486"/>
        </ext>
      </extLst>
    </bk>
    <bk>
      <extLst>
        <ext uri="{3e2802c4-a4d2-4d8b-9148-e3be6c30e623}">
          <xlrd:rvb i="487"/>
        </ext>
      </extLst>
    </bk>
    <bk>
      <extLst>
        <ext uri="{3e2802c4-a4d2-4d8b-9148-e3be6c30e623}">
          <xlrd:rvb i="488"/>
        </ext>
      </extLst>
    </bk>
    <bk>
      <extLst>
        <ext uri="{3e2802c4-a4d2-4d8b-9148-e3be6c30e623}">
          <xlrd:rvb i="489"/>
        </ext>
      </extLst>
    </bk>
    <bk>
      <extLst>
        <ext uri="{3e2802c4-a4d2-4d8b-9148-e3be6c30e623}">
          <xlrd:rvb i="490"/>
        </ext>
      </extLst>
    </bk>
    <bk>
      <extLst>
        <ext uri="{3e2802c4-a4d2-4d8b-9148-e3be6c30e623}">
          <xlrd:rvb i="491"/>
        </ext>
      </extLst>
    </bk>
    <bk>
      <extLst>
        <ext uri="{3e2802c4-a4d2-4d8b-9148-e3be6c30e623}">
          <xlrd:rvb i="492"/>
        </ext>
      </extLst>
    </bk>
    <bk>
      <extLst>
        <ext uri="{3e2802c4-a4d2-4d8b-9148-e3be6c30e623}">
          <xlrd:rvb i="493"/>
        </ext>
      </extLst>
    </bk>
    <bk>
      <extLst>
        <ext uri="{3e2802c4-a4d2-4d8b-9148-e3be6c30e623}">
          <xlrd:rvb i="494"/>
        </ext>
      </extLst>
    </bk>
    <bk>
      <extLst>
        <ext uri="{3e2802c4-a4d2-4d8b-9148-e3be6c30e623}">
          <xlrd:rvb i="495"/>
        </ext>
      </extLst>
    </bk>
    <bk>
      <extLst>
        <ext uri="{3e2802c4-a4d2-4d8b-9148-e3be6c30e623}">
          <xlrd:rvb i="496"/>
        </ext>
      </extLst>
    </bk>
    <bk>
      <extLst>
        <ext uri="{3e2802c4-a4d2-4d8b-9148-e3be6c30e623}">
          <xlrd:rvb i="497"/>
        </ext>
      </extLst>
    </bk>
    <bk>
      <extLst>
        <ext uri="{3e2802c4-a4d2-4d8b-9148-e3be6c30e623}">
          <xlrd:rvb i="498"/>
        </ext>
      </extLst>
    </bk>
    <bk>
      <extLst>
        <ext uri="{3e2802c4-a4d2-4d8b-9148-e3be6c30e623}">
          <xlrd:rvb i="499"/>
        </ext>
      </extLst>
    </bk>
    <bk>
      <extLst>
        <ext uri="{3e2802c4-a4d2-4d8b-9148-e3be6c30e623}">
          <xlrd:rvb i="500"/>
        </ext>
      </extLst>
    </bk>
    <bk>
      <extLst>
        <ext uri="{3e2802c4-a4d2-4d8b-9148-e3be6c30e623}">
          <xlrd:rvb i="501"/>
        </ext>
      </extLst>
    </bk>
    <bk>
      <extLst>
        <ext uri="{3e2802c4-a4d2-4d8b-9148-e3be6c30e623}">
          <xlrd:rvb i="502"/>
        </ext>
      </extLst>
    </bk>
    <bk>
      <extLst>
        <ext uri="{3e2802c4-a4d2-4d8b-9148-e3be6c30e623}">
          <xlrd:rvb i="503"/>
        </ext>
      </extLst>
    </bk>
    <bk>
      <extLst>
        <ext uri="{3e2802c4-a4d2-4d8b-9148-e3be6c30e623}">
          <xlrd:rvb i="504"/>
        </ext>
      </extLst>
    </bk>
    <bk>
      <extLst>
        <ext uri="{3e2802c4-a4d2-4d8b-9148-e3be6c30e623}">
          <xlrd:rvb i="505"/>
        </ext>
      </extLst>
    </bk>
    <bk>
      <extLst>
        <ext uri="{3e2802c4-a4d2-4d8b-9148-e3be6c30e623}">
          <xlrd:rvb i="506"/>
        </ext>
      </extLst>
    </bk>
    <bk>
      <extLst>
        <ext uri="{3e2802c4-a4d2-4d8b-9148-e3be6c30e623}">
          <xlrd:rvb i="507"/>
        </ext>
      </extLst>
    </bk>
    <bk>
      <extLst>
        <ext uri="{3e2802c4-a4d2-4d8b-9148-e3be6c30e623}">
          <xlrd:rvb i="508"/>
        </ext>
      </extLst>
    </bk>
    <bk>
      <extLst>
        <ext uri="{3e2802c4-a4d2-4d8b-9148-e3be6c30e623}">
          <xlrd:rvb i="509"/>
        </ext>
      </extLst>
    </bk>
    <bk>
      <extLst>
        <ext uri="{3e2802c4-a4d2-4d8b-9148-e3be6c30e623}">
          <xlrd:rvb i="510"/>
        </ext>
      </extLst>
    </bk>
    <bk>
      <extLst>
        <ext uri="{3e2802c4-a4d2-4d8b-9148-e3be6c30e623}">
          <xlrd:rvb i="511"/>
        </ext>
      </extLst>
    </bk>
    <bk>
      <extLst>
        <ext uri="{3e2802c4-a4d2-4d8b-9148-e3be6c30e623}">
          <xlrd:rvb i="512"/>
        </ext>
      </extLst>
    </bk>
    <bk>
      <extLst>
        <ext uri="{3e2802c4-a4d2-4d8b-9148-e3be6c30e623}">
          <xlrd:rvb i="513"/>
        </ext>
      </extLst>
    </bk>
    <bk>
      <extLst>
        <ext uri="{3e2802c4-a4d2-4d8b-9148-e3be6c30e623}">
          <xlrd:rvb i="514"/>
        </ext>
      </extLst>
    </bk>
    <bk>
      <extLst>
        <ext uri="{3e2802c4-a4d2-4d8b-9148-e3be6c30e623}">
          <xlrd:rvb i="515"/>
        </ext>
      </extLst>
    </bk>
    <bk>
      <extLst>
        <ext uri="{3e2802c4-a4d2-4d8b-9148-e3be6c30e623}">
          <xlrd:rvb i="516"/>
        </ext>
      </extLst>
    </bk>
    <bk>
      <extLst>
        <ext uri="{3e2802c4-a4d2-4d8b-9148-e3be6c30e623}">
          <xlrd:rvb i="517"/>
        </ext>
      </extLst>
    </bk>
    <bk>
      <extLst>
        <ext uri="{3e2802c4-a4d2-4d8b-9148-e3be6c30e623}">
          <xlrd:rvb i="518"/>
        </ext>
      </extLst>
    </bk>
    <bk>
      <extLst>
        <ext uri="{3e2802c4-a4d2-4d8b-9148-e3be6c30e623}">
          <xlrd:rvb i="519"/>
        </ext>
      </extLst>
    </bk>
    <bk>
      <extLst>
        <ext uri="{3e2802c4-a4d2-4d8b-9148-e3be6c30e623}">
          <xlrd:rvb i="520"/>
        </ext>
      </extLst>
    </bk>
    <bk>
      <extLst>
        <ext uri="{3e2802c4-a4d2-4d8b-9148-e3be6c30e623}">
          <xlrd:rvb i="521"/>
        </ext>
      </extLst>
    </bk>
    <bk>
      <extLst>
        <ext uri="{3e2802c4-a4d2-4d8b-9148-e3be6c30e623}">
          <xlrd:rvb i="522"/>
        </ext>
      </extLst>
    </bk>
    <bk>
      <extLst>
        <ext uri="{3e2802c4-a4d2-4d8b-9148-e3be6c30e623}">
          <xlrd:rvb i="523"/>
        </ext>
      </extLst>
    </bk>
    <bk>
      <extLst>
        <ext uri="{3e2802c4-a4d2-4d8b-9148-e3be6c30e623}">
          <xlrd:rvb i="524"/>
        </ext>
      </extLst>
    </bk>
    <bk>
      <extLst>
        <ext uri="{3e2802c4-a4d2-4d8b-9148-e3be6c30e623}">
          <xlrd:rvb i="525"/>
        </ext>
      </extLst>
    </bk>
    <bk>
      <extLst>
        <ext uri="{3e2802c4-a4d2-4d8b-9148-e3be6c30e623}">
          <xlrd:rvb i="526"/>
        </ext>
      </extLst>
    </bk>
    <bk>
      <extLst>
        <ext uri="{3e2802c4-a4d2-4d8b-9148-e3be6c30e623}">
          <xlrd:rvb i="527"/>
        </ext>
      </extLst>
    </bk>
    <bk>
      <extLst>
        <ext uri="{3e2802c4-a4d2-4d8b-9148-e3be6c30e623}">
          <xlrd:rvb i="528"/>
        </ext>
      </extLst>
    </bk>
    <bk>
      <extLst>
        <ext uri="{3e2802c4-a4d2-4d8b-9148-e3be6c30e623}">
          <xlrd:rvb i="529"/>
        </ext>
      </extLst>
    </bk>
    <bk>
      <extLst>
        <ext uri="{3e2802c4-a4d2-4d8b-9148-e3be6c30e623}">
          <xlrd:rvb i="530"/>
        </ext>
      </extLst>
    </bk>
    <bk>
      <extLst>
        <ext uri="{3e2802c4-a4d2-4d8b-9148-e3be6c30e623}">
          <xlrd:rvb i="531"/>
        </ext>
      </extLst>
    </bk>
    <bk>
      <extLst>
        <ext uri="{3e2802c4-a4d2-4d8b-9148-e3be6c30e623}">
          <xlrd:rvb i="532"/>
        </ext>
      </extLst>
    </bk>
    <bk>
      <extLst>
        <ext uri="{3e2802c4-a4d2-4d8b-9148-e3be6c30e623}">
          <xlrd:rvb i="533"/>
        </ext>
      </extLst>
    </bk>
    <bk>
      <extLst>
        <ext uri="{3e2802c4-a4d2-4d8b-9148-e3be6c30e623}">
          <xlrd:rvb i="534"/>
        </ext>
      </extLst>
    </bk>
    <bk>
      <extLst>
        <ext uri="{3e2802c4-a4d2-4d8b-9148-e3be6c30e623}">
          <xlrd:rvb i="535"/>
        </ext>
      </extLst>
    </bk>
    <bk>
      <extLst>
        <ext uri="{3e2802c4-a4d2-4d8b-9148-e3be6c30e623}">
          <xlrd:rvb i="536"/>
        </ext>
      </extLst>
    </bk>
    <bk>
      <extLst>
        <ext uri="{3e2802c4-a4d2-4d8b-9148-e3be6c30e623}">
          <xlrd:rvb i="537"/>
        </ext>
      </extLst>
    </bk>
    <bk>
      <extLst>
        <ext uri="{3e2802c4-a4d2-4d8b-9148-e3be6c30e623}">
          <xlrd:rvb i="538"/>
        </ext>
      </extLst>
    </bk>
    <bk>
      <extLst>
        <ext uri="{3e2802c4-a4d2-4d8b-9148-e3be6c30e623}">
          <xlrd:rvb i="539"/>
        </ext>
      </extLst>
    </bk>
    <bk>
      <extLst>
        <ext uri="{3e2802c4-a4d2-4d8b-9148-e3be6c30e623}">
          <xlrd:rvb i="540"/>
        </ext>
      </extLst>
    </bk>
    <bk>
      <extLst>
        <ext uri="{3e2802c4-a4d2-4d8b-9148-e3be6c30e623}">
          <xlrd:rvb i="541"/>
        </ext>
      </extLst>
    </bk>
    <bk>
      <extLst>
        <ext uri="{3e2802c4-a4d2-4d8b-9148-e3be6c30e623}">
          <xlrd:rvb i="542"/>
        </ext>
      </extLst>
    </bk>
    <bk>
      <extLst>
        <ext uri="{3e2802c4-a4d2-4d8b-9148-e3be6c30e623}">
          <xlrd:rvb i="543"/>
        </ext>
      </extLst>
    </bk>
    <bk>
      <extLst>
        <ext uri="{3e2802c4-a4d2-4d8b-9148-e3be6c30e623}">
          <xlrd:rvb i="544"/>
        </ext>
      </extLst>
    </bk>
    <bk>
      <extLst>
        <ext uri="{3e2802c4-a4d2-4d8b-9148-e3be6c30e623}">
          <xlrd:rvb i="545"/>
        </ext>
      </extLst>
    </bk>
    <bk>
      <extLst>
        <ext uri="{3e2802c4-a4d2-4d8b-9148-e3be6c30e623}">
          <xlrd:rvb i="546"/>
        </ext>
      </extLst>
    </bk>
    <bk>
      <extLst>
        <ext uri="{3e2802c4-a4d2-4d8b-9148-e3be6c30e623}">
          <xlrd:rvb i="547"/>
        </ext>
      </extLst>
    </bk>
    <bk>
      <extLst>
        <ext uri="{3e2802c4-a4d2-4d8b-9148-e3be6c30e623}">
          <xlrd:rvb i="548"/>
        </ext>
      </extLst>
    </bk>
    <bk>
      <extLst>
        <ext uri="{3e2802c4-a4d2-4d8b-9148-e3be6c30e623}">
          <xlrd:rvb i="549"/>
        </ext>
      </extLst>
    </bk>
    <bk>
      <extLst>
        <ext uri="{3e2802c4-a4d2-4d8b-9148-e3be6c30e623}">
          <xlrd:rvb i="550"/>
        </ext>
      </extLst>
    </bk>
    <bk>
      <extLst>
        <ext uri="{3e2802c4-a4d2-4d8b-9148-e3be6c30e623}">
          <xlrd:rvb i="551"/>
        </ext>
      </extLst>
    </bk>
    <bk>
      <extLst>
        <ext uri="{3e2802c4-a4d2-4d8b-9148-e3be6c30e623}">
          <xlrd:rvb i="552"/>
        </ext>
      </extLst>
    </bk>
    <bk>
      <extLst>
        <ext uri="{3e2802c4-a4d2-4d8b-9148-e3be6c30e623}">
          <xlrd:rvb i="553"/>
        </ext>
      </extLst>
    </bk>
    <bk>
      <extLst>
        <ext uri="{3e2802c4-a4d2-4d8b-9148-e3be6c30e623}">
          <xlrd:rvb i="554"/>
        </ext>
      </extLst>
    </bk>
    <bk>
      <extLst>
        <ext uri="{3e2802c4-a4d2-4d8b-9148-e3be6c30e623}">
          <xlrd:rvb i="555"/>
        </ext>
      </extLst>
    </bk>
    <bk>
      <extLst>
        <ext uri="{3e2802c4-a4d2-4d8b-9148-e3be6c30e623}">
          <xlrd:rvb i="556"/>
        </ext>
      </extLst>
    </bk>
    <bk>
      <extLst>
        <ext uri="{3e2802c4-a4d2-4d8b-9148-e3be6c30e623}">
          <xlrd:rvb i="557"/>
        </ext>
      </extLst>
    </bk>
    <bk>
      <extLst>
        <ext uri="{3e2802c4-a4d2-4d8b-9148-e3be6c30e623}">
          <xlrd:rvb i="558"/>
        </ext>
      </extLst>
    </bk>
    <bk>
      <extLst>
        <ext uri="{3e2802c4-a4d2-4d8b-9148-e3be6c30e623}">
          <xlrd:rvb i="559"/>
        </ext>
      </extLst>
    </bk>
    <bk>
      <extLst>
        <ext uri="{3e2802c4-a4d2-4d8b-9148-e3be6c30e623}">
          <xlrd:rvb i="560"/>
        </ext>
      </extLst>
    </bk>
    <bk>
      <extLst>
        <ext uri="{3e2802c4-a4d2-4d8b-9148-e3be6c30e623}">
          <xlrd:rvb i="561"/>
        </ext>
      </extLst>
    </bk>
    <bk>
      <extLst>
        <ext uri="{3e2802c4-a4d2-4d8b-9148-e3be6c30e623}">
          <xlrd:rvb i="562"/>
        </ext>
      </extLst>
    </bk>
    <bk>
      <extLst>
        <ext uri="{3e2802c4-a4d2-4d8b-9148-e3be6c30e623}">
          <xlrd:rvb i="563"/>
        </ext>
      </extLst>
    </bk>
    <bk>
      <extLst>
        <ext uri="{3e2802c4-a4d2-4d8b-9148-e3be6c30e623}">
          <xlrd:rvb i="564"/>
        </ext>
      </extLst>
    </bk>
    <bk>
      <extLst>
        <ext uri="{3e2802c4-a4d2-4d8b-9148-e3be6c30e623}">
          <xlrd:rvb i="565"/>
        </ext>
      </extLst>
    </bk>
    <bk>
      <extLst>
        <ext uri="{3e2802c4-a4d2-4d8b-9148-e3be6c30e623}">
          <xlrd:rvb i="566"/>
        </ext>
      </extLst>
    </bk>
    <bk>
      <extLst>
        <ext uri="{3e2802c4-a4d2-4d8b-9148-e3be6c30e623}">
          <xlrd:rvb i="567"/>
        </ext>
      </extLst>
    </bk>
    <bk>
      <extLst>
        <ext uri="{3e2802c4-a4d2-4d8b-9148-e3be6c30e623}">
          <xlrd:rvb i="568"/>
        </ext>
      </extLst>
    </bk>
    <bk>
      <extLst>
        <ext uri="{3e2802c4-a4d2-4d8b-9148-e3be6c30e623}">
          <xlrd:rvb i="569"/>
        </ext>
      </extLst>
    </bk>
    <bk>
      <extLst>
        <ext uri="{3e2802c4-a4d2-4d8b-9148-e3be6c30e623}">
          <xlrd:rvb i="570"/>
        </ext>
      </extLst>
    </bk>
    <bk>
      <extLst>
        <ext uri="{3e2802c4-a4d2-4d8b-9148-e3be6c30e623}">
          <xlrd:rvb i="571"/>
        </ext>
      </extLst>
    </bk>
    <bk>
      <extLst>
        <ext uri="{3e2802c4-a4d2-4d8b-9148-e3be6c30e623}">
          <xlrd:rvb i="572"/>
        </ext>
      </extLst>
    </bk>
    <bk>
      <extLst>
        <ext uri="{3e2802c4-a4d2-4d8b-9148-e3be6c30e623}">
          <xlrd:rvb i="573"/>
        </ext>
      </extLst>
    </bk>
    <bk>
      <extLst>
        <ext uri="{3e2802c4-a4d2-4d8b-9148-e3be6c30e623}">
          <xlrd:rvb i="574"/>
        </ext>
      </extLst>
    </bk>
    <bk>
      <extLst>
        <ext uri="{3e2802c4-a4d2-4d8b-9148-e3be6c30e623}">
          <xlrd:rvb i="575"/>
        </ext>
      </extLst>
    </bk>
    <bk>
      <extLst>
        <ext uri="{3e2802c4-a4d2-4d8b-9148-e3be6c30e623}">
          <xlrd:rvb i="576"/>
        </ext>
      </extLst>
    </bk>
    <bk>
      <extLst>
        <ext uri="{3e2802c4-a4d2-4d8b-9148-e3be6c30e623}">
          <xlrd:rvb i="577"/>
        </ext>
      </extLst>
    </bk>
    <bk>
      <extLst>
        <ext uri="{3e2802c4-a4d2-4d8b-9148-e3be6c30e623}">
          <xlrd:rvb i="578"/>
        </ext>
      </extLst>
    </bk>
    <bk>
      <extLst>
        <ext uri="{3e2802c4-a4d2-4d8b-9148-e3be6c30e623}">
          <xlrd:rvb i="579"/>
        </ext>
      </extLst>
    </bk>
    <bk>
      <extLst>
        <ext uri="{3e2802c4-a4d2-4d8b-9148-e3be6c30e623}">
          <xlrd:rvb i="580"/>
        </ext>
      </extLst>
    </bk>
    <bk>
      <extLst>
        <ext uri="{3e2802c4-a4d2-4d8b-9148-e3be6c30e623}">
          <xlrd:rvb i="581"/>
        </ext>
      </extLst>
    </bk>
    <bk>
      <extLst>
        <ext uri="{3e2802c4-a4d2-4d8b-9148-e3be6c30e623}">
          <xlrd:rvb i="582"/>
        </ext>
      </extLst>
    </bk>
    <bk>
      <extLst>
        <ext uri="{3e2802c4-a4d2-4d8b-9148-e3be6c30e623}">
          <xlrd:rvb i="583"/>
        </ext>
      </extLst>
    </bk>
    <bk>
      <extLst>
        <ext uri="{3e2802c4-a4d2-4d8b-9148-e3be6c30e623}">
          <xlrd:rvb i="584"/>
        </ext>
      </extLst>
    </bk>
    <bk>
      <extLst>
        <ext uri="{3e2802c4-a4d2-4d8b-9148-e3be6c30e623}">
          <xlrd:rvb i="585"/>
        </ext>
      </extLst>
    </bk>
    <bk>
      <extLst>
        <ext uri="{3e2802c4-a4d2-4d8b-9148-e3be6c30e623}">
          <xlrd:rvb i="586"/>
        </ext>
      </extLst>
    </bk>
    <bk>
      <extLst>
        <ext uri="{3e2802c4-a4d2-4d8b-9148-e3be6c30e623}">
          <xlrd:rvb i="587"/>
        </ext>
      </extLst>
    </bk>
    <bk>
      <extLst>
        <ext uri="{3e2802c4-a4d2-4d8b-9148-e3be6c30e623}">
          <xlrd:rvb i="588"/>
        </ext>
      </extLst>
    </bk>
    <bk>
      <extLst>
        <ext uri="{3e2802c4-a4d2-4d8b-9148-e3be6c30e623}">
          <xlrd:rvb i="589"/>
        </ext>
      </extLst>
    </bk>
    <bk>
      <extLst>
        <ext uri="{3e2802c4-a4d2-4d8b-9148-e3be6c30e623}">
          <xlrd:rvb i="590"/>
        </ext>
      </extLst>
    </bk>
    <bk>
      <extLst>
        <ext uri="{3e2802c4-a4d2-4d8b-9148-e3be6c30e623}">
          <xlrd:rvb i="591"/>
        </ext>
      </extLst>
    </bk>
    <bk>
      <extLst>
        <ext uri="{3e2802c4-a4d2-4d8b-9148-e3be6c30e623}">
          <xlrd:rvb i="592"/>
        </ext>
      </extLst>
    </bk>
    <bk>
      <extLst>
        <ext uri="{3e2802c4-a4d2-4d8b-9148-e3be6c30e623}">
          <xlrd:rvb i="593"/>
        </ext>
      </extLst>
    </bk>
    <bk>
      <extLst>
        <ext uri="{3e2802c4-a4d2-4d8b-9148-e3be6c30e623}">
          <xlrd:rvb i="594"/>
        </ext>
      </extLst>
    </bk>
    <bk>
      <extLst>
        <ext uri="{3e2802c4-a4d2-4d8b-9148-e3be6c30e623}">
          <xlrd:rvb i="595"/>
        </ext>
      </extLst>
    </bk>
    <bk>
      <extLst>
        <ext uri="{3e2802c4-a4d2-4d8b-9148-e3be6c30e623}">
          <xlrd:rvb i="596"/>
        </ext>
      </extLst>
    </bk>
    <bk>
      <extLst>
        <ext uri="{3e2802c4-a4d2-4d8b-9148-e3be6c30e623}">
          <xlrd:rvb i="597"/>
        </ext>
      </extLst>
    </bk>
    <bk>
      <extLst>
        <ext uri="{3e2802c4-a4d2-4d8b-9148-e3be6c30e623}">
          <xlrd:rvb i="598"/>
        </ext>
      </extLst>
    </bk>
    <bk>
      <extLst>
        <ext uri="{3e2802c4-a4d2-4d8b-9148-e3be6c30e623}">
          <xlrd:rvb i="599"/>
        </ext>
      </extLst>
    </bk>
    <bk>
      <extLst>
        <ext uri="{3e2802c4-a4d2-4d8b-9148-e3be6c30e623}">
          <xlrd:rvb i="600"/>
        </ext>
      </extLst>
    </bk>
    <bk>
      <extLst>
        <ext uri="{3e2802c4-a4d2-4d8b-9148-e3be6c30e623}">
          <xlrd:rvb i="601"/>
        </ext>
      </extLst>
    </bk>
    <bk>
      <extLst>
        <ext uri="{3e2802c4-a4d2-4d8b-9148-e3be6c30e623}">
          <xlrd:rvb i="602"/>
        </ext>
      </extLst>
    </bk>
    <bk>
      <extLst>
        <ext uri="{3e2802c4-a4d2-4d8b-9148-e3be6c30e623}">
          <xlrd:rvb i="603"/>
        </ext>
      </extLst>
    </bk>
    <bk>
      <extLst>
        <ext uri="{3e2802c4-a4d2-4d8b-9148-e3be6c30e623}">
          <xlrd:rvb i="604"/>
        </ext>
      </extLst>
    </bk>
    <bk>
      <extLst>
        <ext uri="{3e2802c4-a4d2-4d8b-9148-e3be6c30e623}">
          <xlrd:rvb i="605"/>
        </ext>
      </extLst>
    </bk>
    <bk>
      <extLst>
        <ext uri="{3e2802c4-a4d2-4d8b-9148-e3be6c30e623}">
          <xlrd:rvb i="606"/>
        </ext>
      </extLst>
    </bk>
    <bk>
      <extLst>
        <ext uri="{3e2802c4-a4d2-4d8b-9148-e3be6c30e623}">
          <xlrd:rvb i="607"/>
        </ext>
      </extLst>
    </bk>
    <bk>
      <extLst>
        <ext uri="{3e2802c4-a4d2-4d8b-9148-e3be6c30e623}">
          <xlrd:rvb i="608"/>
        </ext>
      </extLst>
    </bk>
    <bk>
      <extLst>
        <ext uri="{3e2802c4-a4d2-4d8b-9148-e3be6c30e623}">
          <xlrd:rvb i="609"/>
        </ext>
      </extLst>
    </bk>
    <bk>
      <extLst>
        <ext uri="{3e2802c4-a4d2-4d8b-9148-e3be6c30e623}">
          <xlrd:rvb i="610"/>
        </ext>
      </extLst>
    </bk>
    <bk>
      <extLst>
        <ext uri="{3e2802c4-a4d2-4d8b-9148-e3be6c30e623}">
          <xlrd:rvb i="611"/>
        </ext>
      </extLst>
    </bk>
    <bk>
      <extLst>
        <ext uri="{3e2802c4-a4d2-4d8b-9148-e3be6c30e623}">
          <xlrd:rvb i="612"/>
        </ext>
      </extLst>
    </bk>
    <bk>
      <extLst>
        <ext uri="{3e2802c4-a4d2-4d8b-9148-e3be6c30e623}">
          <xlrd:rvb i="613"/>
        </ext>
      </extLst>
    </bk>
    <bk>
      <extLst>
        <ext uri="{3e2802c4-a4d2-4d8b-9148-e3be6c30e623}">
          <xlrd:rvb i="614"/>
        </ext>
      </extLst>
    </bk>
    <bk>
      <extLst>
        <ext uri="{3e2802c4-a4d2-4d8b-9148-e3be6c30e623}">
          <xlrd:rvb i="615"/>
        </ext>
      </extLst>
    </bk>
    <bk>
      <extLst>
        <ext uri="{3e2802c4-a4d2-4d8b-9148-e3be6c30e623}">
          <xlrd:rvb i="616"/>
        </ext>
      </extLst>
    </bk>
    <bk>
      <extLst>
        <ext uri="{3e2802c4-a4d2-4d8b-9148-e3be6c30e623}">
          <xlrd:rvb i="617"/>
        </ext>
      </extLst>
    </bk>
    <bk>
      <extLst>
        <ext uri="{3e2802c4-a4d2-4d8b-9148-e3be6c30e623}">
          <xlrd:rvb i="618"/>
        </ext>
      </extLst>
    </bk>
    <bk>
      <extLst>
        <ext uri="{3e2802c4-a4d2-4d8b-9148-e3be6c30e623}">
          <xlrd:rvb i="619"/>
        </ext>
      </extLst>
    </bk>
    <bk>
      <extLst>
        <ext uri="{3e2802c4-a4d2-4d8b-9148-e3be6c30e623}">
          <xlrd:rvb i="620"/>
        </ext>
      </extLst>
    </bk>
    <bk>
      <extLst>
        <ext uri="{3e2802c4-a4d2-4d8b-9148-e3be6c30e623}">
          <xlrd:rvb i="621"/>
        </ext>
      </extLst>
    </bk>
    <bk>
      <extLst>
        <ext uri="{3e2802c4-a4d2-4d8b-9148-e3be6c30e623}">
          <xlrd:rvb i="622"/>
        </ext>
      </extLst>
    </bk>
    <bk>
      <extLst>
        <ext uri="{3e2802c4-a4d2-4d8b-9148-e3be6c30e623}">
          <xlrd:rvb i="623"/>
        </ext>
      </extLst>
    </bk>
    <bk>
      <extLst>
        <ext uri="{3e2802c4-a4d2-4d8b-9148-e3be6c30e623}">
          <xlrd:rvb i="624"/>
        </ext>
      </extLst>
    </bk>
    <bk>
      <extLst>
        <ext uri="{3e2802c4-a4d2-4d8b-9148-e3be6c30e623}">
          <xlrd:rvb i="625"/>
        </ext>
      </extLst>
    </bk>
    <bk>
      <extLst>
        <ext uri="{3e2802c4-a4d2-4d8b-9148-e3be6c30e623}">
          <xlrd:rvb i="626"/>
        </ext>
      </extLst>
    </bk>
    <bk>
      <extLst>
        <ext uri="{3e2802c4-a4d2-4d8b-9148-e3be6c30e623}">
          <xlrd:rvb i="627"/>
        </ext>
      </extLst>
    </bk>
    <bk>
      <extLst>
        <ext uri="{3e2802c4-a4d2-4d8b-9148-e3be6c30e623}">
          <xlrd:rvb i="628"/>
        </ext>
      </extLst>
    </bk>
    <bk>
      <extLst>
        <ext uri="{3e2802c4-a4d2-4d8b-9148-e3be6c30e623}">
          <xlrd:rvb i="629"/>
        </ext>
      </extLst>
    </bk>
    <bk>
      <extLst>
        <ext uri="{3e2802c4-a4d2-4d8b-9148-e3be6c30e623}">
          <xlrd:rvb i="630"/>
        </ext>
      </extLst>
    </bk>
    <bk>
      <extLst>
        <ext uri="{3e2802c4-a4d2-4d8b-9148-e3be6c30e623}">
          <xlrd:rvb i="631"/>
        </ext>
      </extLst>
    </bk>
    <bk>
      <extLst>
        <ext uri="{3e2802c4-a4d2-4d8b-9148-e3be6c30e623}">
          <xlrd:rvb i="632"/>
        </ext>
      </extLst>
    </bk>
    <bk>
      <extLst>
        <ext uri="{3e2802c4-a4d2-4d8b-9148-e3be6c30e623}">
          <xlrd:rvb i="633"/>
        </ext>
      </extLst>
    </bk>
    <bk>
      <extLst>
        <ext uri="{3e2802c4-a4d2-4d8b-9148-e3be6c30e623}">
          <xlrd:rvb i="634"/>
        </ext>
      </extLst>
    </bk>
    <bk>
      <extLst>
        <ext uri="{3e2802c4-a4d2-4d8b-9148-e3be6c30e623}">
          <xlrd:rvb i="635"/>
        </ext>
      </extLst>
    </bk>
    <bk>
      <extLst>
        <ext uri="{3e2802c4-a4d2-4d8b-9148-e3be6c30e623}">
          <xlrd:rvb i="636"/>
        </ext>
      </extLst>
    </bk>
    <bk>
      <extLst>
        <ext uri="{3e2802c4-a4d2-4d8b-9148-e3be6c30e623}">
          <xlrd:rvb i="637"/>
        </ext>
      </extLst>
    </bk>
    <bk>
      <extLst>
        <ext uri="{3e2802c4-a4d2-4d8b-9148-e3be6c30e623}">
          <xlrd:rvb i="638"/>
        </ext>
      </extLst>
    </bk>
    <bk>
      <extLst>
        <ext uri="{3e2802c4-a4d2-4d8b-9148-e3be6c30e623}">
          <xlrd:rvb i="639"/>
        </ext>
      </extLst>
    </bk>
    <bk>
      <extLst>
        <ext uri="{3e2802c4-a4d2-4d8b-9148-e3be6c30e623}">
          <xlrd:rvb i="640"/>
        </ext>
      </extLst>
    </bk>
    <bk>
      <extLst>
        <ext uri="{3e2802c4-a4d2-4d8b-9148-e3be6c30e623}">
          <xlrd:rvb i="641"/>
        </ext>
      </extLst>
    </bk>
    <bk>
      <extLst>
        <ext uri="{3e2802c4-a4d2-4d8b-9148-e3be6c30e623}">
          <xlrd:rvb i="642"/>
        </ext>
      </extLst>
    </bk>
    <bk>
      <extLst>
        <ext uri="{3e2802c4-a4d2-4d8b-9148-e3be6c30e623}">
          <xlrd:rvb i="643"/>
        </ext>
      </extLst>
    </bk>
    <bk>
      <extLst>
        <ext uri="{3e2802c4-a4d2-4d8b-9148-e3be6c30e623}">
          <xlrd:rvb i="644"/>
        </ext>
      </extLst>
    </bk>
    <bk>
      <extLst>
        <ext uri="{3e2802c4-a4d2-4d8b-9148-e3be6c30e623}">
          <xlrd:rvb i="645"/>
        </ext>
      </extLst>
    </bk>
    <bk>
      <extLst>
        <ext uri="{3e2802c4-a4d2-4d8b-9148-e3be6c30e623}">
          <xlrd:rvb i="646"/>
        </ext>
      </extLst>
    </bk>
    <bk>
      <extLst>
        <ext uri="{3e2802c4-a4d2-4d8b-9148-e3be6c30e623}">
          <xlrd:rvb i="647"/>
        </ext>
      </extLst>
    </bk>
    <bk>
      <extLst>
        <ext uri="{3e2802c4-a4d2-4d8b-9148-e3be6c30e623}">
          <xlrd:rvb i="648"/>
        </ext>
      </extLst>
    </bk>
    <bk>
      <extLst>
        <ext uri="{3e2802c4-a4d2-4d8b-9148-e3be6c30e623}">
          <xlrd:rvb i="649"/>
        </ext>
      </extLst>
    </bk>
    <bk>
      <extLst>
        <ext uri="{3e2802c4-a4d2-4d8b-9148-e3be6c30e623}">
          <xlrd:rvb i="650"/>
        </ext>
      </extLst>
    </bk>
    <bk>
      <extLst>
        <ext uri="{3e2802c4-a4d2-4d8b-9148-e3be6c30e623}">
          <xlrd:rvb i="651"/>
        </ext>
      </extLst>
    </bk>
    <bk>
      <extLst>
        <ext uri="{3e2802c4-a4d2-4d8b-9148-e3be6c30e623}">
          <xlrd:rvb i="652"/>
        </ext>
      </extLst>
    </bk>
    <bk>
      <extLst>
        <ext uri="{3e2802c4-a4d2-4d8b-9148-e3be6c30e623}">
          <xlrd:rvb i="653"/>
        </ext>
      </extLst>
    </bk>
    <bk>
      <extLst>
        <ext uri="{3e2802c4-a4d2-4d8b-9148-e3be6c30e623}">
          <xlrd:rvb i="654"/>
        </ext>
      </extLst>
    </bk>
    <bk>
      <extLst>
        <ext uri="{3e2802c4-a4d2-4d8b-9148-e3be6c30e623}">
          <xlrd:rvb i="655"/>
        </ext>
      </extLst>
    </bk>
    <bk>
      <extLst>
        <ext uri="{3e2802c4-a4d2-4d8b-9148-e3be6c30e623}">
          <xlrd:rvb i="656"/>
        </ext>
      </extLst>
    </bk>
    <bk>
      <extLst>
        <ext uri="{3e2802c4-a4d2-4d8b-9148-e3be6c30e623}">
          <xlrd:rvb i="657"/>
        </ext>
      </extLst>
    </bk>
    <bk>
      <extLst>
        <ext uri="{3e2802c4-a4d2-4d8b-9148-e3be6c30e623}">
          <xlrd:rvb i="658"/>
        </ext>
      </extLst>
    </bk>
    <bk>
      <extLst>
        <ext uri="{3e2802c4-a4d2-4d8b-9148-e3be6c30e623}">
          <xlrd:rvb i="659"/>
        </ext>
      </extLst>
    </bk>
    <bk>
      <extLst>
        <ext uri="{3e2802c4-a4d2-4d8b-9148-e3be6c30e623}">
          <xlrd:rvb i="660"/>
        </ext>
      </extLst>
    </bk>
    <bk>
      <extLst>
        <ext uri="{3e2802c4-a4d2-4d8b-9148-e3be6c30e623}">
          <xlrd:rvb i="661"/>
        </ext>
      </extLst>
    </bk>
    <bk>
      <extLst>
        <ext uri="{3e2802c4-a4d2-4d8b-9148-e3be6c30e623}">
          <xlrd:rvb i="662"/>
        </ext>
      </extLst>
    </bk>
    <bk>
      <extLst>
        <ext uri="{3e2802c4-a4d2-4d8b-9148-e3be6c30e623}">
          <xlrd:rvb i="663"/>
        </ext>
      </extLst>
    </bk>
    <bk>
      <extLst>
        <ext uri="{3e2802c4-a4d2-4d8b-9148-e3be6c30e623}">
          <xlrd:rvb i="664"/>
        </ext>
      </extLst>
    </bk>
    <bk>
      <extLst>
        <ext uri="{3e2802c4-a4d2-4d8b-9148-e3be6c30e623}">
          <xlrd:rvb i="665"/>
        </ext>
      </extLst>
    </bk>
    <bk>
      <extLst>
        <ext uri="{3e2802c4-a4d2-4d8b-9148-e3be6c30e623}">
          <xlrd:rvb i="666"/>
        </ext>
      </extLst>
    </bk>
    <bk>
      <extLst>
        <ext uri="{3e2802c4-a4d2-4d8b-9148-e3be6c30e623}">
          <xlrd:rvb i="667"/>
        </ext>
      </extLst>
    </bk>
    <bk>
      <extLst>
        <ext uri="{3e2802c4-a4d2-4d8b-9148-e3be6c30e623}">
          <xlrd:rvb i="668"/>
        </ext>
      </extLst>
    </bk>
    <bk>
      <extLst>
        <ext uri="{3e2802c4-a4d2-4d8b-9148-e3be6c30e623}">
          <xlrd:rvb i="669"/>
        </ext>
      </extLst>
    </bk>
    <bk>
      <extLst>
        <ext uri="{3e2802c4-a4d2-4d8b-9148-e3be6c30e623}">
          <xlrd:rvb i="670"/>
        </ext>
      </extLst>
    </bk>
    <bk>
      <extLst>
        <ext uri="{3e2802c4-a4d2-4d8b-9148-e3be6c30e623}">
          <xlrd:rvb i="671"/>
        </ext>
      </extLst>
    </bk>
    <bk>
      <extLst>
        <ext uri="{3e2802c4-a4d2-4d8b-9148-e3be6c30e623}">
          <xlrd:rvb i="672"/>
        </ext>
      </extLst>
    </bk>
    <bk>
      <extLst>
        <ext uri="{3e2802c4-a4d2-4d8b-9148-e3be6c30e623}">
          <xlrd:rvb i="673"/>
        </ext>
      </extLst>
    </bk>
    <bk>
      <extLst>
        <ext uri="{3e2802c4-a4d2-4d8b-9148-e3be6c30e623}">
          <xlrd:rvb i="674"/>
        </ext>
      </extLst>
    </bk>
  </futureMetadata>
  <valueMetadata count="675">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bk>
      <rc t="1" v="142"/>
    </bk>
    <bk>
      <rc t="1" v="143"/>
    </bk>
    <bk>
      <rc t="1" v="144"/>
    </bk>
    <bk>
      <rc t="1" v="145"/>
    </bk>
    <bk>
      <rc t="1" v="146"/>
    </bk>
    <bk>
      <rc t="1" v="147"/>
    </bk>
    <bk>
      <rc t="1" v="148"/>
    </bk>
    <bk>
      <rc t="1" v="149"/>
    </bk>
    <bk>
      <rc t="1" v="150"/>
    </bk>
    <bk>
      <rc t="1" v="151"/>
    </bk>
    <bk>
      <rc t="1" v="152"/>
    </bk>
    <bk>
      <rc t="1" v="153"/>
    </bk>
    <bk>
      <rc t="1" v="154"/>
    </bk>
    <bk>
      <rc t="1" v="155"/>
    </bk>
    <bk>
      <rc t="1" v="156"/>
    </bk>
    <bk>
      <rc t="1" v="157"/>
    </bk>
    <bk>
      <rc t="1" v="158"/>
    </bk>
    <bk>
      <rc t="1" v="159"/>
    </bk>
    <bk>
      <rc t="1" v="160"/>
    </bk>
    <bk>
      <rc t="1" v="161"/>
    </bk>
    <bk>
      <rc t="1" v="162"/>
    </bk>
    <bk>
      <rc t="1" v="163"/>
    </bk>
    <bk>
      <rc t="1" v="164"/>
    </bk>
    <bk>
      <rc t="1" v="165"/>
    </bk>
    <bk>
      <rc t="1" v="166"/>
    </bk>
    <bk>
      <rc t="1" v="167"/>
    </bk>
    <bk>
      <rc t="1" v="168"/>
    </bk>
    <bk>
      <rc t="1" v="169"/>
    </bk>
    <bk>
      <rc t="1" v="170"/>
    </bk>
    <bk>
      <rc t="1" v="171"/>
    </bk>
    <bk>
      <rc t="1" v="172"/>
    </bk>
    <bk>
      <rc t="1" v="173"/>
    </bk>
    <bk>
      <rc t="1" v="174"/>
    </bk>
    <bk>
      <rc t="1" v="175"/>
    </bk>
    <bk>
      <rc t="1" v="176"/>
    </bk>
    <bk>
      <rc t="1" v="177"/>
    </bk>
    <bk>
      <rc t="1" v="178"/>
    </bk>
    <bk>
      <rc t="1" v="179"/>
    </bk>
    <bk>
      <rc t="1" v="180"/>
    </bk>
    <bk>
      <rc t="1" v="181"/>
    </bk>
    <bk>
      <rc t="1" v="182"/>
    </bk>
    <bk>
      <rc t="1" v="183"/>
    </bk>
    <bk>
      <rc t="1" v="184"/>
    </bk>
    <bk>
      <rc t="1" v="185"/>
    </bk>
    <bk>
      <rc t="1" v="186"/>
    </bk>
    <bk>
      <rc t="1" v="187"/>
    </bk>
    <bk>
      <rc t="1" v="188"/>
    </bk>
    <bk>
      <rc t="1" v="189"/>
    </bk>
    <bk>
      <rc t="1" v="190"/>
    </bk>
    <bk>
      <rc t="1" v="191"/>
    </bk>
    <bk>
      <rc t="1" v="192"/>
    </bk>
    <bk>
      <rc t="1" v="193"/>
    </bk>
    <bk>
      <rc t="1" v="194"/>
    </bk>
    <bk>
      <rc t="1" v="195"/>
    </bk>
    <bk>
      <rc t="1" v="196"/>
    </bk>
    <bk>
      <rc t="1" v="197"/>
    </bk>
    <bk>
      <rc t="1" v="198"/>
    </bk>
    <bk>
      <rc t="1" v="199"/>
    </bk>
    <bk>
      <rc t="1" v="200"/>
    </bk>
    <bk>
      <rc t="1" v="201"/>
    </bk>
    <bk>
      <rc t="1" v="202"/>
    </bk>
    <bk>
      <rc t="1" v="203"/>
    </bk>
    <bk>
      <rc t="1" v="204"/>
    </bk>
    <bk>
      <rc t="1" v="205"/>
    </bk>
    <bk>
      <rc t="1" v="206"/>
    </bk>
    <bk>
      <rc t="1" v="207"/>
    </bk>
    <bk>
      <rc t="1" v="208"/>
    </bk>
    <bk>
      <rc t="1" v="209"/>
    </bk>
    <bk>
      <rc t="1" v="210"/>
    </bk>
    <bk>
      <rc t="1" v="211"/>
    </bk>
    <bk>
      <rc t="1" v="212"/>
    </bk>
    <bk>
      <rc t="1" v="213"/>
    </bk>
    <bk>
      <rc t="1" v="214"/>
    </bk>
    <bk>
      <rc t="1" v="215"/>
    </bk>
    <bk>
      <rc t="1" v="216"/>
    </bk>
    <bk>
      <rc t="1" v="217"/>
    </bk>
    <bk>
      <rc t="1" v="218"/>
    </bk>
    <bk>
      <rc t="1" v="219"/>
    </bk>
    <bk>
      <rc t="1" v="220"/>
    </bk>
    <bk>
      <rc t="1" v="221"/>
    </bk>
    <bk>
      <rc t="1" v="222"/>
    </bk>
    <bk>
      <rc t="1" v="223"/>
    </bk>
    <bk>
      <rc t="1" v="224"/>
    </bk>
    <bk>
      <rc t="1" v="225"/>
    </bk>
    <bk>
      <rc t="1" v="226"/>
    </bk>
    <bk>
      <rc t="1" v="227"/>
    </bk>
    <bk>
      <rc t="1" v="228"/>
    </bk>
    <bk>
      <rc t="1" v="229"/>
    </bk>
    <bk>
      <rc t="1" v="230"/>
    </bk>
    <bk>
      <rc t="1" v="231"/>
    </bk>
    <bk>
      <rc t="1" v="232"/>
    </bk>
    <bk>
      <rc t="1" v="233"/>
    </bk>
    <bk>
      <rc t="1" v="234"/>
    </bk>
    <bk>
      <rc t="1" v="235"/>
    </bk>
    <bk>
      <rc t="1" v="236"/>
    </bk>
    <bk>
      <rc t="1" v="237"/>
    </bk>
    <bk>
      <rc t="1" v="238"/>
    </bk>
    <bk>
      <rc t="1" v="239"/>
    </bk>
    <bk>
      <rc t="1" v="240"/>
    </bk>
    <bk>
      <rc t="1" v="241"/>
    </bk>
    <bk>
      <rc t="1" v="242"/>
    </bk>
    <bk>
      <rc t="1" v="243"/>
    </bk>
    <bk>
      <rc t="1" v="244"/>
    </bk>
    <bk>
      <rc t="1" v="245"/>
    </bk>
    <bk>
      <rc t="1" v="246"/>
    </bk>
    <bk>
      <rc t="1" v="247"/>
    </bk>
    <bk>
      <rc t="1" v="248"/>
    </bk>
    <bk>
      <rc t="1" v="249"/>
    </bk>
    <bk>
      <rc t="1" v="250"/>
    </bk>
    <bk>
      <rc t="1" v="251"/>
    </bk>
    <bk>
      <rc t="1" v="252"/>
    </bk>
    <bk>
      <rc t="1" v="253"/>
    </bk>
    <bk>
      <rc t="1" v="254"/>
    </bk>
    <bk>
      <rc t="1" v="255"/>
    </bk>
    <bk>
      <rc t="1" v="256"/>
    </bk>
    <bk>
      <rc t="1" v="257"/>
    </bk>
    <bk>
      <rc t="1" v="258"/>
    </bk>
    <bk>
      <rc t="1" v="259"/>
    </bk>
    <bk>
      <rc t="1" v="260"/>
    </bk>
    <bk>
      <rc t="1" v="261"/>
    </bk>
    <bk>
      <rc t="1" v="262"/>
    </bk>
    <bk>
      <rc t="1" v="263"/>
    </bk>
    <bk>
      <rc t="1" v="264"/>
    </bk>
    <bk>
      <rc t="1" v="265"/>
    </bk>
    <bk>
      <rc t="1" v="266"/>
    </bk>
    <bk>
      <rc t="1" v="267"/>
    </bk>
    <bk>
      <rc t="1" v="268"/>
    </bk>
    <bk>
      <rc t="1" v="269"/>
    </bk>
    <bk>
      <rc t="1" v="270"/>
    </bk>
    <bk>
      <rc t="1" v="271"/>
    </bk>
    <bk>
      <rc t="1" v="272"/>
    </bk>
    <bk>
      <rc t="1" v="273"/>
    </bk>
    <bk>
      <rc t="1" v="274"/>
    </bk>
    <bk>
      <rc t="1" v="275"/>
    </bk>
    <bk>
      <rc t="1" v="276"/>
    </bk>
    <bk>
      <rc t="1" v="277"/>
    </bk>
    <bk>
      <rc t="1" v="278"/>
    </bk>
    <bk>
      <rc t="1" v="279"/>
    </bk>
    <bk>
      <rc t="1" v="280"/>
    </bk>
    <bk>
      <rc t="1" v="281"/>
    </bk>
    <bk>
      <rc t="1" v="282"/>
    </bk>
    <bk>
      <rc t="1" v="283"/>
    </bk>
    <bk>
      <rc t="1" v="284"/>
    </bk>
    <bk>
      <rc t="1" v="285"/>
    </bk>
    <bk>
      <rc t="1" v="286"/>
    </bk>
    <bk>
      <rc t="1" v="287"/>
    </bk>
    <bk>
      <rc t="1" v="288"/>
    </bk>
    <bk>
      <rc t="1" v="289"/>
    </bk>
    <bk>
      <rc t="1" v="290"/>
    </bk>
    <bk>
      <rc t="1" v="291"/>
    </bk>
    <bk>
      <rc t="1" v="292"/>
    </bk>
    <bk>
      <rc t="1" v="293"/>
    </bk>
    <bk>
      <rc t="1" v="294"/>
    </bk>
    <bk>
      <rc t="1" v="295"/>
    </bk>
    <bk>
      <rc t="1" v="296"/>
    </bk>
    <bk>
      <rc t="1" v="297"/>
    </bk>
    <bk>
      <rc t="1" v="298"/>
    </bk>
    <bk>
      <rc t="1" v="299"/>
    </bk>
    <bk>
      <rc t="1" v="300"/>
    </bk>
    <bk>
      <rc t="1" v="301"/>
    </bk>
    <bk>
      <rc t="1" v="302"/>
    </bk>
    <bk>
      <rc t="1" v="303"/>
    </bk>
    <bk>
      <rc t="1" v="304"/>
    </bk>
    <bk>
      <rc t="1" v="305"/>
    </bk>
    <bk>
      <rc t="1" v="306"/>
    </bk>
    <bk>
      <rc t="1" v="307"/>
    </bk>
    <bk>
      <rc t="1" v="308"/>
    </bk>
    <bk>
      <rc t="1" v="309"/>
    </bk>
    <bk>
      <rc t="1" v="310"/>
    </bk>
    <bk>
      <rc t="1" v="311"/>
    </bk>
    <bk>
      <rc t="1" v="312"/>
    </bk>
    <bk>
      <rc t="1" v="313"/>
    </bk>
    <bk>
      <rc t="1" v="314"/>
    </bk>
    <bk>
      <rc t="1" v="315"/>
    </bk>
    <bk>
      <rc t="1" v="316"/>
    </bk>
    <bk>
      <rc t="1" v="317"/>
    </bk>
    <bk>
      <rc t="1" v="318"/>
    </bk>
    <bk>
      <rc t="1" v="319"/>
    </bk>
    <bk>
      <rc t="1" v="320"/>
    </bk>
    <bk>
      <rc t="1" v="321"/>
    </bk>
    <bk>
      <rc t="1" v="322"/>
    </bk>
    <bk>
      <rc t="1" v="323"/>
    </bk>
    <bk>
      <rc t="1" v="324"/>
    </bk>
    <bk>
      <rc t="1" v="325"/>
    </bk>
    <bk>
      <rc t="1" v="326"/>
    </bk>
    <bk>
      <rc t="1" v="327"/>
    </bk>
    <bk>
      <rc t="1" v="328"/>
    </bk>
    <bk>
      <rc t="1" v="329"/>
    </bk>
    <bk>
      <rc t="1" v="330"/>
    </bk>
    <bk>
      <rc t="1" v="331"/>
    </bk>
    <bk>
      <rc t="1" v="332"/>
    </bk>
    <bk>
      <rc t="1" v="333"/>
    </bk>
    <bk>
      <rc t="1" v="334"/>
    </bk>
    <bk>
      <rc t="1" v="335"/>
    </bk>
    <bk>
      <rc t="1" v="336"/>
    </bk>
    <bk>
      <rc t="1" v="337"/>
    </bk>
    <bk>
      <rc t="1" v="338"/>
    </bk>
    <bk>
      <rc t="1" v="339"/>
    </bk>
    <bk>
      <rc t="1" v="340"/>
    </bk>
    <bk>
      <rc t="1" v="341"/>
    </bk>
    <bk>
      <rc t="1" v="342"/>
    </bk>
    <bk>
      <rc t="1" v="343"/>
    </bk>
    <bk>
      <rc t="1" v="344"/>
    </bk>
    <bk>
      <rc t="1" v="345"/>
    </bk>
    <bk>
      <rc t="1" v="346"/>
    </bk>
    <bk>
      <rc t="1" v="347"/>
    </bk>
    <bk>
      <rc t="1" v="348"/>
    </bk>
    <bk>
      <rc t="1" v="349"/>
    </bk>
    <bk>
      <rc t="1" v="350"/>
    </bk>
    <bk>
      <rc t="1" v="351"/>
    </bk>
    <bk>
      <rc t="1" v="352"/>
    </bk>
    <bk>
      <rc t="1" v="353"/>
    </bk>
    <bk>
      <rc t="1" v="354"/>
    </bk>
    <bk>
      <rc t="1" v="355"/>
    </bk>
    <bk>
      <rc t="1" v="356"/>
    </bk>
    <bk>
      <rc t="1" v="357"/>
    </bk>
    <bk>
      <rc t="1" v="358"/>
    </bk>
    <bk>
      <rc t="1" v="359"/>
    </bk>
    <bk>
      <rc t="1" v="360"/>
    </bk>
    <bk>
      <rc t="1" v="361"/>
    </bk>
    <bk>
      <rc t="1" v="362"/>
    </bk>
    <bk>
      <rc t="1" v="363"/>
    </bk>
    <bk>
      <rc t="1" v="364"/>
    </bk>
    <bk>
      <rc t="1" v="365"/>
    </bk>
    <bk>
      <rc t="1" v="366"/>
    </bk>
    <bk>
      <rc t="1" v="367"/>
    </bk>
    <bk>
      <rc t="1" v="368"/>
    </bk>
    <bk>
      <rc t="1" v="369"/>
    </bk>
    <bk>
      <rc t="1" v="370"/>
    </bk>
    <bk>
      <rc t="1" v="371"/>
    </bk>
    <bk>
      <rc t="1" v="372"/>
    </bk>
    <bk>
      <rc t="1" v="373"/>
    </bk>
    <bk>
      <rc t="1" v="374"/>
    </bk>
    <bk>
      <rc t="1" v="375"/>
    </bk>
    <bk>
      <rc t="1" v="376"/>
    </bk>
    <bk>
      <rc t="1" v="377"/>
    </bk>
    <bk>
      <rc t="1" v="378"/>
    </bk>
    <bk>
      <rc t="1" v="379"/>
    </bk>
    <bk>
      <rc t="1" v="380"/>
    </bk>
    <bk>
      <rc t="1" v="381"/>
    </bk>
    <bk>
      <rc t="1" v="382"/>
    </bk>
    <bk>
      <rc t="1" v="383"/>
    </bk>
    <bk>
      <rc t="1" v="384"/>
    </bk>
    <bk>
      <rc t="1" v="385"/>
    </bk>
    <bk>
      <rc t="1" v="386"/>
    </bk>
    <bk>
      <rc t="1" v="387"/>
    </bk>
    <bk>
      <rc t="1" v="388"/>
    </bk>
    <bk>
      <rc t="1" v="389"/>
    </bk>
    <bk>
      <rc t="1" v="390"/>
    </bk>
    <bk>
      <rc t="1" v="391"/>
    </bk>
    <bk>
      <rc t="1" v="392"/>
    </bk>
    <bk>
      <rc t="1" v="393"/>
    </bk>
    <bk>
      <rc t="1" v="394"/>
    </bk>
    <bk>
      <rc t="1" v="395"/>
    </bk>
    <bk>
      <rc t="1" v="396"/>
    </bk>
    <bk>
      <rc t="1" v="397"/>
    </bk>
    <bk>
      <rc t="1" v="398"/>
    </bk>
    <bk>
      <rc t="1" v="399"/>
    </bk>
    <bk>
      <rc t="1" v="400"/>
    </bk>
    <bk>
      <rc t="1" v="401"/>
    </bk>
    <bk>
      <rc t="1" v="402"/>
    </bk>
    <bk>
      <rc t="1" v="403"/>
    </bk>
    <bk>
      <rc t="1" v="404"/>
    </bk>
    <bk>
      <rc t="1" v="405"/>
    </bk>
    <bk>
      <rc t="1" v="406"/>
    </bk>
    <bk>
      <rc t="1" v="407"/>
    </bk>
    <bk>
      <rc t="1" v="408"/>
    </bk>
    <bk>
      <rc t="1" v="409"/>
    </bk>
    <bk>
      <rc t="1" v="410"/>
    </bk>
    <bk>
      <rc t="1" v="411"/>
    </bk>
    <bk>
      <rc t="1" v="412"/>
    </bk>
    <bk>
      <rc t="1" v="413"/>
    </bk>
    <bk>
      <rc t="1" v="414"/>
    </bk>
    <bk>
      <rc t="1" v="415"/>
    </bk>
    <bk>
      <rc t="1" v="416"/>
    </bk>
    <bk>
      <rc t="1" v="417"/>
    </bk>
    <bk>
      <rc t="1" v="418"/>
    </bk>
    <bk>
      <rc t="1" v="419"/>
    </bk>
    <bk>
      <rc t="1" v="420"/>
    </bk>
    <bk>
      <rc t="1" v="421"/>
    </bk>
    <bk>
      <rc t="1" v="422"/>
    </bk>
    <bk>
      <rc t="1" v="423"/>
    </bk>
    <bk>
      <rc t="1" v="424"/>
    </bk>
    <bk>
      <rc t="1" v="425"/>
    </bk>
    <bk>
      <rc t="1" v="426"/>
    </bk>
    <bk>
      <rc t="1" v="427"/>
    </bk>
    <bk>
      <rc t="1" v="428"/>
    </bk>
    <bk>
      <rc t="1" v="429"/>
    </bk>
    <bk>
      <rc t="1" v="430"/>
    </bk>
    <bk>
      <rc t="1" v="431"/>
    </bk>
    <bk>
      <rc t="1" v="432"/>
    </bk>
    <bk>
      <rc t="1" v="433"/>
    </bk>
    <bk>
      <rc t="1" v="434"/>
    </bk>
    <bk>
      <rc t="1" v="435"/>
    </bk>
    <bk>
      <rc t="1" v="436"/>
    </bk>
    <bk>
      <rc t="1" v="437"/>
    </bk>
    <bk>
      <rc t="1" v="438"/>
    </bk>
    <bk>
      <rc t="1" v="439"/>
    </bk>
    <bk>
      <rc t="1" v="440"/>
    </bk>
    <bk>
      <rc t="1" v="441"/>
    </bk>
    <bk>
      <rc t="1" v="442"/>
    </bk>
    <bk>
      <rc t="1" v="443"/>
    </bk>
    <bk>
      <rc t="1" v="444"/>
    </bk>
    <bk>
      <rc t="1" v="445"/>
    </bk>
    <bk>
      <rc t="1" v="446"/>
    </bk>
    <bk>
      <rc t="1" v="447"/>
    </bk>
    <bk>
      <rc t="1" v="448"/>
    </bk>
    <bk>
      <rc t="1" v="449"/>
    </bk>
    <bk>
      <rc t="1" v="450"/>
    </bk>
    <bk>
      <rc t="1" v="451"/>
    </bk>
    <bk>
      <rc t="1" v="452"/>
    </bk>
    <bk>
      <rc t="1" v="453"/>
    </bk>
    <bk>
      <rc t="1" v="454"/>
    </bk>
    <bk>
      <rc t="1" v="455"/>
    </bk>
    <bk>
      <rc t="1" v="456"/>
    </bk>
    <bk>
      <rc t="1" v="457"/>
    </bk>
    <bk>
      <rc t="1" v="458"/>
    </bk>
    <bk>
      <rc t="1" v="459"/>
    </bk>
    <bk>
      <rc t="1" v="460"/>
    </bk>
    <bk>
      <rc t="1" v="461"/>
    </bk>
    <bk>
      <rc t="1" v="462"/>
    </bk>
    <bk>
      <rc t="1" v="463"/>
    </bk>
    <bk>
      <rc t="1" v="464"/>
    </bk>
    <bk>
      <rc t="1" v="465"/>
    </bk>
    <bk>
      <rc t="1" v="466"/>
    </bk>
    <bk>
      <rc t="1" v="467"/>
    </bk>
    <bk>
      <rc t="1" v="468"/>
    </bk>
    <bk>
      <rc t="1" v="469"/>
    </bk>
    <bk>
      <rc t="1" v="470"/>
    </bk>
    <bk>
      <rc t="1" v="471"/>
    </bk>
    <bk>
      <rc t="1" v="472"/>
    </bk>
    <bk>
      <rc t="1" v="473"/>
    </bk>
    <bk>
      <rc t="1" v="474"/>
    </bk>
    <bk>
      <rc t="1" v="475"/>
    </bk>
    <bk>
      <rc t="1" v="476"/>
    </bk>
    <bk>
      <rc t="1" v="477"/>
    </bk>
    <bk>
      <rc t="1" v="478"/>
    </bk>
    <bk>
      <rc t="1" v="479"/>
    </bk>
    <bk>
      <rc t="1" v="480"/>
    </bk>
    <bk>
      <rc t="1" v="481"/>
    </bk>
    <bk>
      <rc t="1" v="482"/>
    </bk>
    <bk>
      <rc t="1" v="483"/>
    </bk>
    <bk>
      <rc t="1" v="484"/>
    </bk>
    <bk>
      <rc t="1" v="485"/>
    </bk>
    <bk>
      <rc t="1" v="486"/>
    </bk>
    <bk>
      <rc t="1" v="487"/>
    </bk>
    <bk>
      <rc t="1" v="488"/>
    </bk>
    <bk>
      <rc t="1" v="489"/>
    </bk>
    <bk>
      <rc t="1" v="490"/>
    </bk>
    <bk>
      <rc t="1" v="491"/>
    </bk>
    <bk>
      <rc t="1" v="492"/>
    </bk>
    <bk>
      <rc t="1" v="493"/>
    </bk>
    <bk>
      <rc t="1" v="494"/>
    </bk>
    <bk>
      <rc t="1" v="495"/>
    </bk>
    <bk>
      <rc t="1" v="496"/>
    </bk>
    <bk>
      <rc t="1" v="497"/>
    </bk>
    <bk>
      <rc t="1" v="498"/>
    </bk>
    <bk>
      <rc t="1" v="499"/>
    </bk>
    <bk>
      <rc t="1" v="500"/>
    </bk>
    <bk>
      <rc t="1" v="501"/>
    </bk>
    <bk>
      <rc t="1" v="502"/>
    </bk>
    <bk>
      <rc t="1" v="503"/>
    </bk>
    <bk>
      <rc t="1" v="504"/>
    </bk>
    <bk>
      <rc t="1" v="505"/>
    </bk>
    <bk>
      <rc t="1" v="506"/>
    </bk>
    <bk>
      <rc t="1" v="507"/>
    </bk>
    <bk>
      <rc t="1" v="508"/>
    </bk>
    <bk>
      <rc t="1" v="509"/>
    </bk>
    <bk>
      <rc t="1" v="510"/>
    </bk>
    <bk>
      <rc t="1" v="511"/>
    </bk>
    <bk>
      <rc t="1" v="512"/>
    </bk>
    <bk>
      <rc t="1" v="513"/>
    </bk>
    <bk>
      <rc t="1" v="514"/>
    </bk>
    <bk>
      <rc t="1" v="515"/>
    </bk>
    <bk>
      <rc t="1" v="516"/>
    </bk>
    <bk>
      <rc t="1" v="517"/>
    </bk>
    <bk>
      <rc t="1" v="518"/>
    </bk>
    <bk>
      <rc t="1" v="519"/>
    </bk>
    <bk>
      <rc t="1" v="520"/>
    </bk>
    <bk>
      <rc t="1" v="521"/>
    </bk>
    <bk>
      <rc t="1" v="522"/>
    </bk>
    <bk>
      <rc t="1" v="523"/>
    </bk>
    <bk>
      <rc t="1" v="524"/>
    </bk>
    <bk>
      <rc t="1" v="525"/>
    </bk>
    <bk>
      <rc t="1" v="526"/>
    </bk>
    <bk>
      <rc t="1" v="527"/>
    </bk>
    <bk>
      <rc t="1" v="528"/>
    </bk>
    <bk>
      <rc t="1" v="529"/>
    </bk>
    <bk>
      <rc t="1" v="530"/>
    </bk>
    <bk>
      <rc t="1" v="531"/>
    </bk>
    <bk>
      <rc t="1" v="532"/>
    </bk>
    <bk>
      <rc t="1" v="533"/>
    </bk>
    <bk>
      <rc t="1" v="534"/>
    </bk>
    <bk>
      <rc t="1" v="535"/>
    </bk>
    <bk>
      <rc t="1" v="536"/>
    </bk>
    <bk>
      <rc t="1" v="537"/>
    </bk>
    <bk>
      <rc t="1" v="538"/>
    </bk>
    <bk>
      <rc t="1" v="539"/>
    </bk>
    <bk>
      <rc t="1" v="540"/>
    </bk>
    <bk>
      <rc t="1" v="541"/>
    </bk>
    <bk>
      <rc t="1" v="542"/>
    </bk>
    <bk>
      <rc t="1" v="543"/>
    </bk>
    <bk>
      <rc t="1" v="544"/>
    </bk>
    <bk>
      <rc t="1" v="545"/>
    </bk>
    <bk>
      <rc t="1" v="546"/>
    </bk>
    <bk>
      <rc t="1" v="547"/>
    </bk>
    <bk>
      <rc t="1" v="548"/>
    </bk>
    <bk>
      <rc t="1" v="549"/>
    </bk>
    <bk>
      <rc t="1" v="550"/>
    </bk>
    <bk>
      <rc t="1" v="551"/>
    </bk>
    <bk>
      <rc t="1" v="552"/>
    </bk>
    <bk>
      <rc t="1" v="553"/>
    </bk>
    <bk>
      <rc t="1" v="554"/>
    </bk>
    <bk>
      <rc t="1" v="555"/>
    </bk>
    <bk>
      <rc t="1" v="556"/>
    </bk>
    <bk>
      <rc t="1" v="557"/>
    </bk>
    <bk>
      <rc t="1" v="558"/>
    </bk>
    <bk>
      <rc t="1" v="559"/>
    </bk>
    <bk>
      <rc t="1" v="560"/>
    </bk>
    <bk>
      <rc t="1" v="561"/>
    </bk>
    <bk>
      <rc t="1" v="562"/>
    </bk>
    <bk>
      <rc t="1" v="563"/>
    </bk>
    <bk>
      <rc t="1" v="564"/>
    </bk>
    <bk>
      <rc t="1" v="565"/>
    </bk>
    <bk>
      <rc t="1" v="566"/>
    </bk>
    <bk>
      <rc t="1" v="567"/>
    </bk>
    <bk>
      <rc t="1" v="568"/>
    </bk>
    <bk>
      <rc t="1" v="569"/>
    </bk>
    <bk>
      <rc t="1" v="570"/>
    </bk>
    <bk>
      <rc t="1" v="571"/>
    </bk>
    <bk>
      <rc t="1" v="572"/>
    </bk>
    <bk>
      <rc t="1" v="573"/>
    </bk>
    <bk>
      <rc t="1" v="574"/>
    </bk>
    <bk>
      <rc t="1" v="575"/>
    </bk>
    <bk>
      <rc t="1" v="576"/>
    </bk>
    <bk>
      <rc t="1" v="577"/>
    </bk>
    <bk>
      <rc t="1" v="578"/>
    </bk>
    <bk>
      <rc t="1" v="579"/>
    </bk>
    <bk>
      <rc t="1" v="580"/>
    </bk>
    <bk>
      <rc t="1" v="581"/>
    </bk>
    <bk>
      <rc t="1" v="582"/>
    </bk>
    <bk>
      <rc t="1" v="583"/>
    </bk>
    <bk>
      <rc t="1" v="584"/>
    </bk>
    <bk>
      <rc t="1" v="585"/>
    </bk>
    <bk>
      <rc t="1" v="586"/>
    </bk>
    <bk>
      <rc t="1" v="587"/>
    </bk>
    <bk>
      <rc t="1" v="588"/>
    </bk>
    <bk>
      <rc t="1" v="589"/>
    </bk>
    <bk>
      <rc t="1" v="590"/>
    </bk>
    <bk>
      <rc t="1" v="591"/>
    </bk>
    <bk>
      <rc t="1" v="592"/>
    </bk>
    <bk>
      <rc t="1" v="593"/>
    </bk>
    <bk>
      <rc t="1" v="594"/>
    </bk>
    <bk>
      <rc t="1" v="595"/>
    </bk>
    <bk>
      <rc t="1" v="596"/>
    </bk>
    <bk>
      <rc t="1" v="597"/>
    </bk>
    <bk>
      <rc t="1" v="598"/>
    </bk>
    <bk>
      <rc t="1" v="599"/>
    </bk>
    <bk>
      <rc t="1" v="600"/>
    </bk>
    <bk>
      <rc t="1" v="601"/>
    </bk>
    <bk>
      <rc t="1" v="602"/>
    </bk>
    <bk>
      <rc t="1" v="603"/>
    </bk>
    <bk>
      <rc t="1" v="604"/>
    </bk>
    <bk>
      <rc t="1" v="605"/>
    </bk>
    <bk>
      <rc t="1" v="606"/>
    </bk>
    <bk>
      <rc t="1" v="607"/>
    </bk>
    <bk>
      <rc t="1" v="608"/>
    </bk>
    <bk>
      <rc t="1" v="609"/>
    </bk>
    <bk>
      <rc t="1" v="610"/>
    </bk>
    <bk>
      <rc t="1" v="611"/>
    </bk>
    <bk>
      <rc t="1" v="612"/>
    </bk>
    <bk>
      <rc t="1" v="613"/>
    </bk>
    <bk>
      <rc t="1" v="614"/>
    </bk>
    <bk>
      <rc t="1" v="615"/>
    </bk>
    <bk>
      <rc t="1" v="616"/>
    </bk>
    <bk>
      <rc t="1" v="617"/>
    </bk>
    <bk>
      <rc t="1" v="618"/>
    </bk>
    <bk>
      <rc t="1" v="619"/>
    </bk>
    <bk>
      <rc t="1" v="620"/>
    </bk>
    <bk>
      <rc t="1" v="621"/>
    </bk>
    <bk>
      <rc t="1" v="622"/>
    </bk>
    <bk>
      <rc t="1" v="623"/>
    </bk>
    <bk>
      <rc t="1" v="624"/>
    </bk>
    <bk>
      <rc t="1" v="625"/>
    </bk>
    <bk>
      <rc t="1" v="626"/>
    </bk>
    <bk>
      <rc t="1" v="627"/>
    </bk>
    <bk>
      <rc t="1" v="628"/>
    </bk>
    <bk>
      <rc t="1" v="629"/>
    </bk>
    <bk>
      <rc t="1" v="630"/>
    </bk>
    <bk>
      <rc t="1" v="631"/>
    </bk>
    <bk>
      <rc t="1" v="632"/>
    </bk>
    <bk>
      <rc t="1" v="633"/>
    </bk>
    <bk>
      <rc t="1" v="634"/>
    </bk>
    <bk>
      <rc t="1" v="635"/>
    </bk>
    <bk>
      <rc t="1" v="636"/>
    </bk>
    <bk>
      <rc t="1" v="637"/>
    </bk>
    <bk>
      <rc t="1" v="638"/>
    </bk>
    <bk>
      <rc t="1" v="639"/>
    </bk>
    <bk>
      <rc t="1" v="640"/>
    </bk>
    <bk>
      <rc t="1" v="641"/>
    </bk>
    <bk>
      <rc t="1" v="642"/>
    </bk>
    <bk>
      <rc t="1" v="643"/>
    </bk>
    <bk>
      <rc t="1" v="644"/>
    </bk>
    <bk>
      <rc t="1" v="645"/>
    </bk>
    <bk>
      <rc t="1" v="646"/>
    </bk>
    <bk>
      <rc t="1" v="647"/>
    </bk>
    <bk>
      <rc t="1" v="648"/>
    </bk>
    <bk>
      <rc t="1" v="649"/>
    </bk>
    <bk>
      <rc t="1" v="650"/>
    </bk>
    <bk>
      <rc t="1" v="651"/>
    </bk>
    <bk>
      <rc t="1" v="652"/>
    </bk>
    <bk>
      <rc t="1" v="653"/>
    </bk>
    <bk>
      <rc t="1" v="654"/>
    </bk>
    <bk>
      <rc t="1" v="655"/>
    </bk>
    <bk>
      <rc t="1" v="656"/>
    </bk>
    <bk>
      <rc t="1" v="657"/>
    </bk>
    <bk>
      <rc t="1" v="658"/>
    </bk>
    <bk>
      <rc t="1" v="659"/>
    </bk>
    <bk>
      <rc t="1" v="660"/>
    </bk>
    <bk>
      <rc t="1" v="661"/>
    </bk>
    <bk>
      <rc t="1" v="662"/>
    </bk>
    <bk>
      <rc t="1" v="663"/>
    </bk>
    <bk>
      <rc t="1" v="664"/>
    </bk>
    <bk>
      <rc t="1" v="665"/>
    </bk>
    <bk>
      <rc t="1" v="666"/>
    </bk>
    <bk>
      <rc t="1" v="667"/>
    </bk>
    <bk>
      <rc t="1" v="668"/>
    </bk>
    <bk>
      <rc t="1" v="669"/>
    </bk>
    <bk>
      <rc t="1" v="670"/>
    </bk>
    <bk>
      <rc t="1" v="671"/>
    </bk>
    <bk>
      <rc t="1" v="672"/>
    </bk>
    <bk>
      <rc t="1" v="673"/>
    </bk>
    <bk>
      <rc t="1" v="674"/>
    </bk>
  </valueMetadata>
</metadata>
</file>

<file path=xl/sharedStrings.xml><?xml version="1.0" encoding="utf-8"?>
<sst xmlns="http://schemas.openxmlformats.org/spreadsheetml/2006/main" count="1432" uniqueCount="817">
  <si>
    <t>Data for Anupam Rasayan</t>
  </si>
  <si>
    <t>Returns</t>
  </si>
  <si>
    <t>DATA for NIFTY 50</t>
  </si>
  <si>
    <t>Return</t>
  </si>
  <si>
    <t>Market Returns for NIFTY 50</t>
  </si>
  <si>
    <t>Average Market
Return</t>
  </si>
  <si>
    <t>91 day T-bill</t>
  </si>
  <si>
    <t>Market Risk Premium</t>
  </si>
  <si>
    <t>Dividend Data</t>
  </si>
  <si>
    <t>Liability Breakdown (Rs in Millions)</t>
  </si>
  <si>
    <t>Interest Expense (Rs in Millions)</t>
  </si>
  <si>
    <t>Bond Yield Plus Risk 
Premium Approach 
(Cost of Equity=Bond Yield+
Equity Risk Premium)</t>
  </si>
  <si>
    <t>The Fama-French Three-Factor Model Formula:</t>
  </si>
  <si>
    <t>Date</t>
  </si>
  <si>
    <t>Close</t>
  </si>
  <si>
    <t>Covariance</t>
  </si>
  <si>
    <t>Variance</t>
  </si>
  <si>
    <t>Beta</t>
  </si>
  <si>
    <t>(Risk free Rate)</t>
  </si>
  <si>
    <t>(Rm-RFR)</t>
  </si>
  <si>
    <t>Announcement Date</t>
  </si>
  <si>
    <t>Ex-Dividend Date</t>
  </si>
  <si>
    <t>Dividend (Rs)</t>
  </si>
  <si>
    <t>Years</t>
  </si>
  <si>
    <t>Sum of Dividend (Rs)</t>
  </si>
  <si>
    <t>We can clearly see that dividend given 
out by the company is showing a clear 
negative trend hence dividend discount 
model of any kind cannot be used.</t>
  </si>
  <si>
    <t>Total Liability</t>
  </si>
  <si>
    <t>Interest Expense</t>
  </si>
  <si>
    <t>All values are in %</t>
  </si>
  <si>
    <t xml:space="preserve">MF (market Factor/
Market Return): </t>
  </si>
  <si>
    <t>RF (Risk
Free Rate):</t>
  </si>
  <si>
    <t>Cost of Equity
(CAPM) =</t>
  </si>
  <si>
    <t>%</t>
  </si>
  <si>
    <t>2021</t>
  </si>
  <si>
    <t>Current Liability</t>
  </si>
  <si>
    <t>Other Borrowing Cost</t>
  </si>
  <si>
    <t>Date:-</t>
  </si>
  <si>
    <t>Excess Return on Asset</t>
  </si>
  <si>
    <t>SMB</t>
  </si>
  <si>
    <t>HML</t>
  </si>
  <si>
    <t>Rm-Rf</t>
  </si>
  <si>
    <t>WML</t>
  </si>
  <si>
    <t>2022</t>
  </si>
  <si>
    <t>Long term Liability</t>
  </si>
  <si>
    <t>2021-04</t>
  </si>
  <si>
    <t>SUMMARY OUTPUT</t>
  </si>
  <si>
    <t>2023</t>
  </si>
  <si>
    <t>Estimated Yield of 
Long term Bond (%)</t>
  </si>
  <si>
    <t>Cost of Equity=</t>
  </si>
  <si>
    <t>E: Market value of Equity</t>
  </si>
  <si>
    <t>Last month</t>
  </si>
  <si>
    <t>Last 3 months</t>
  </si>
  <si>
    <t>Year to date</t>
  </si>
  <si>
    <t>Since 01-Jan-1994</t>
  </si>
  <si>
    <t>2021-05</t>
  </si>
  <si>
    <t>2024</t>
  </si>
  <si>
    <t>Total Equity</t>
  </si>
  <si>
    <t>V: Debt+Equity (E+D)</t>
  </si>
  <si>
    <t>Market premium %</t>
  </si>
  <si>
    <t>2021-06</t>
  </si>
  <si>
    <t>Regression Statistics</t>
  </si>
  <si>
    <t>Grand Total</t>
  </si>
  <si>
    <t>r_e: Cost of Equity (CAPM)</t>
  </si>
  <si>
    <t>SMB %</t>
  </si>
  <si>
    <t>2021-07</t>
  </si>
  <si>
    <t>Multiple R</t>
  </si>
  <si>
    <t>r_e: Cost of Equity (Bond Yield
approach)</t>
  </si>
  <si>
    <t>HML %</t>
  </si>
  <si>
    <t>2021-08</t>
  </si>
  <si>
    <t>R Square</t>
  </si>
  <si>
    <t>WML %</t>
  </si>
  <si>
    <t>2021-09</t>
  </si>
  <si>
    <t>Adjusted R Square</t>
  </si>
  <si>
    <t>D: Value of Debt</t>
  </si>
  <si>
    <t>2021-10</t>
  </si>
  <si>
    <t>Standard Error</t>
  </si>
  <si>
    <t>r_d: Cost of Debt</t>
  </si>
  <si>
    <t>Start Month</t>
  </si>
  <si>
    <t>2021-11</t>
  </si>
  <si>
    <t>Observations</t>
  </si>
  <si>
    <t>Tax Rate</t>
  </si>
  <si>
    <t>End Month</t>
  </si>
  <si>
    <t>2021-12</t>
  </si>
  <si>
    <t>in Percentage (%)</t>
  </si>
  <si>
    <t>2022-01</t>
  </si>
  <si>
    <t>ANOVA</t>
  </si>
  <si>
    <t>WACC (CAPM apporach)</t>
  </si>
  <si>
    <t>Source:- 
https://web.iima.ac.in/~iffm/Indian-Fama-French-Momentum/index.php</t>
  </si>
  <si>
    <t>2022-02</t>
  </si>
  <si>
    <t>df</t>
  </si>
  <si>
    <t>SS</t>
  </si>
  <si>
    <t>MS</t>
  </si>
  <si>
    <t>F</t>
  </si>
  <si>
    <t>Significance F</t>
  </si>
  <si>
    <t>WACC (Bond Yield apporach)</t>
  </si>
  <si>
    <t>2022-03</t>
  </si>
  <si>
    <t>Regression</t>
  </si>
  <si>
    <t>2022-04</t>
  </si>
  <si>
    <t>Residual</t>
  </si>
  <si>
    <t>2022-05</t>
  </si>
  <si>
    <t>Total</t>
  </si>
  <si>
    <t>2022-06</t>
  </si>
  <si>
    <t>2022-07</t>
  </si>
  <si>
    <t>Coefficients</t>
  </si>
  <si>
    <t>t Stat</t>
  </si>
  <si>
    <t>P-value</t>
  </si>
  <si>
    <t>Lower 95%</t>
  </si>
  <si>
    <t>Upper 95%</t>
  </si>
  <si>
    <t>Lower 95.0%</t>
  </si>
  <si>
    <t>Upper 95.0%</t>
  </si>
  <si>
    <t>2022-08</t>
  </si>
  <si>
    <t>Intercept</t>
  </si>
  <si>
    <t>2022-09</t>
  </si>
  <si>
    <t>2022-10</t>
  </si>
  <si>
    <t>2022-11</t>
  </si>
  <si>
    <t>2022-12</t>
  </si>
  <si>
    <t>Required Rate of 
Return according 
Fama-French 
Model =</t>
  </si>
  <si>
    <t>2023-01</t>
  </si>
  <si>
    <t>2023-02</t>
  </si>
  <si>
    <t>Source</t>
  </si>
  <si>
    <t>2023-03</t>
  </si>
  <si>
    <t>https://primeinvestor.in/nifty-50-returns/</t>
  </si>
  <si>
    <t>Disclaimer:- The required Rate of return calculated from 
Fama French Theory may not be entirely accurate as we were unable to find the value unable to find the values of SMB,HML, 
and WML beyond March 2023.</t>
  </si>
  <si>
    <t>HML = high-minus-low factor</t>
  </si>
  <si>
    <t>SMB = the small-minus-big factor</t>
  </si>
  <si>
    <t>WML = Winner Minus Loser (adds momentum dimension)</t>
  </si>
  <si>
    <t xml:space="preserve">Data for Anupam Rasayan		</t>
  </si>
  <si>
    <t>Merket Returns for NIFTY 50</t>
  </si>
  <si>
    <t>Average Return</t>
  </si>
  <si>
    <t>Cost of Equity</t>
  </si>
  <si>
    <t>(CAPM)</t>
  </si>
  <si>
    <t xml:space="preserve">Financial Year </t>
  </si>
  <si>
    <t>Balance Sheet</t>
  </si>
  <si>
    <t>Shares outstanding numbers in cr. Other numbers in ₹ cr</t>
  </si>
  <si>
    <t>Statements</t>
  </si>
  <si>
    <t>Current Assests</t>
  </si>
  <si>
    <t>Cash and Short term investments</t>
  </si>
  <si>
    <t>Total Recivables</t>
  </si>
  <si>
    <t>Total Inventory</t>
  </si>
  <si>
    <t>Other Current Assets</t>
  </si>
  <si>
    <t>+</t>
  </si>
  <si>
    <t>Non Current Assets</t>
  </si>
  <si>
    <t>Loans &amp; Advances</t>
  </si>
  <si>
    <t>Net Property/Plant/Equipment</t>
  </si>
  <si>
    <t>Goodwill &amp; Intangibles</t>
  </si>
  <si>
    <t>Long Term Investments</t>
  </si>
  <si>
    <t>Deferred Tax Assets (Net)</t>
  </si>
  <si>
    <t>Other Assets</t>
  </si>
  <si>
    <t>=</t>
  </si>
  <si>
    <t>Total Assets</t>
  </si>
  <si>
    <t>Accounts Payable</t>
  </si>
  <si>
    <t>Total Deposits</t>
  </si>
  <si>
    <t>Other Current Liabilities</t>
  </si>
  <si>
    <t>Non-Current Liabilities</t>
  </si>
  <si>
    <t>Total Long Term Debt</t>
  </si>
  <si>
    <t>Deferred Tax Liabilities (Net)</t>
  </si>
  <si>
    <t>Other Liabilities</t>
  </si>
  <si>
    <t>Total Liabilities</t>
  </si>
  <si>
    <t>Common Stock</t>
  </si>
  <si>
    <t>Additional Paid-in Capital</t>
  </si>
  <si>
    <t>Reserves &amp; Surplus</t>
  </si>
  <si>
    <t>Minority Interest</t>
  </si>
  <si>
    <t>Other Equity</t>
  </si>
  <si>
    <t>Total Liability and SE</t>
  </si>
  <si>
    <t>Total Outstanding Shares</t>
  </si>
  <si>
    <t>Cash Flow Statements</t>
  </si>
  <si>
    <t>All numbers in ₹ cr</t>
  </si>
  <si>
    <t>Net Change in Cash</t>
  </si>
  <si>
    <t>Cash from Operating Activities</t>
  </si>
  <si>
    <t>Cash from Investing Activities</t>
  </si>
  <si>
    <t>Cash from Financing Activities</t>
  </si>
  <si>
    <t>Changes in Working Capital</t>
  </si>
  <si>
    <t>Capital Expenditure</t>
  </si>
  <si>
    <t>Free Cash Flow</t>
  </si>
  <si>
    <t>Income Statements</t>
  </si>
  <si>
    <t>EPS and DPS in ₹. Other numbers except Payout Ratio in ₹ cr</t>
  </si>
  <si>
    <t>TTM</t>
  </si>
  <si>
    <t>Total Revenue</t>
  </si>
  <si>
    <t>-</t>
  </si>
  <si>
    <t>Raw Materials</t>
  </si>
  <si>
    <t>Power &amp; Fuel Cost</t>
  </si>
  <si>
    <t>Employee Cost</t>
  </si>
  <si>
    <t>Selling &amp; Administrative Expenses</t>
  </si>
  <si>
    <t>Operating &amp; Other expenses</t>
  </si>
  <si>
    <t>EBITDA</t>
  </si>
  <si>
    <t>Depreciation/Amortization</t>
  </si>
  <si>
    <t>PBIT</t>
  </si>
  <si>
    <t>Interest &amp; Other Items</t>
  </si>
  <si>
    <t>PBT</t>
  </si>
  <si>
    <t>Taxes &amp; Other Items</t>
  </si>
  <si>
    <t>Net Income</t>
  </si>
  <si>
    <t>EPS</t>
  </si>
  <si>
    <t>DPS</t>
  </si>
  <si>
    <t>Payout ratio</t>
  </si>
  <si>
    <t>BALANCE SHEET, CASH FLOW STATEMENT, INCOME STATEMENT ENDS HERE</t>
  </si>
  <si>
    <t>Capital Structure and Debt Analysis</t>
  </si>
  <si>
    <t>FY</t>
  </si>
  <si>
    <t>Proportion of Debt vs. Equity</t>
  </si>
  <si>
    <t>Debt Ratio</t>
  </si>
  <si>
    <t>Equity Ratio</t>
  </si>
  <si>
    <t>Current Ratio</t>
  </si>
  <si>
    <t>Interest Coverage Ratio</t>
  </si>
  <si>
    <t>Dividend Policy </t>
  </si>
  <si>
    <t>Payout Ratio</t>
  </si>
  <si>
    <t>Parameters</t>
  </si>
  <si>
    <t>Ranking (1-5)</t>
  </si>
  <si>
    <t>Justification</t>
  </si>
  <si>
    <t xml:space="preserve">Financial Obligations	</t>
  </si>
  <si>
    <t>The company has a strong current ratio and interest coverage ratio, indicating good liquidity and solvency.</t>
  </si>
  <si>
    <t xml:space="preserve">Returns to Shareholders	</t>
  </si>
  <si>
    <t>The firm's ROE is average compared to it's peers, and has a moderate dividend yield compared to its peers.</t>
  </si>
  <si>
    <t xml:space="preserve">Stock Price Stability	</t>
  </si>
  <si>
    <t>The stock has a higher volatility (1.267) than the market.</t>
  </si>
  <si>
    <t xml:space="preserve">Growth in Revenue and Earnings	</t>
  </si>
  <si>
    <t>The firm has shown consistent earnings and sales growth above industry average.</t>
  </si>
  <si>
    <t xml:space="preserve">Environmental and Social Initiatives	</t>
  </si>
  <si>
    <t>The firm has taken a keen interest in meeting regulatory compliances and improving the lives of the 
community and employee alike.</t>
  </si>
  <si>
    <t>Parameters (Justifications)</t>
  </si>
  <si>
    <t>1.) Financial Obligations</t>
  </si>
  <si>
    <t>The company's interest coverage ratio, Equity ratio shows an upwards trend while Debt ratio shows a downward
trend this shows that every year the firm's equity is increasing faster than it's debt  imporving its financial 
position and improving its ability to service it's debt.</t>
  </si>
  <si>
    <t>2.) Returns to Shareholders</t>
  </si>
  <si>
    <t>The firm's dividend yield (0.17) is much less than most of it's peer in speciality chemical sector and so is it's 
ROE of 5.</t>
  </si>
  <si>
    <t>Ratio</t>
  </si>
  <si>
    <t>P/E</t>
  </si>
  <si>
    <t>ROE</t>
  </si>
  <si>
    <t>ROCE</t>
  </si>
  <si>
    <t>Dividend Yield</t>
  </si>
  <si>
    <t>Sales Growth (5 years)</t>
  </si>
  <si>
    <t>EBIDT Growth 5 years</t>
  </si>
  <si>
    <t>Profit Growth 5 years</t>
  </si>
  <si>
    <t>EPS (3 years)</t>
  </si>
  <si>
    <t>EPS(5 years)</t>
  </si>
  <si>
    <t>Competitors</t>
  </si>
  <si>
    <t>Gujarat Fluorochemicals Ltd</t>
  </si>
  <si>
    <t>Vinati Organics Ltd</t>
  </si>
  <si>
    <t>Akzo Nobel India Ltd</t>
  </si>
  <si>
    <t>Navin Fluorine International Ltd</t>
  </si>
  <si>
    <t>Fine Organic Industries Ltd</t>
  </si>
  <si>
    <t>Aarti Industries Ltd</t>
  </si>
  <si>
    <t>Supreme Petrochem Ltd</t>
  </si>
  <si>
    <t>Average</t>
  </si>
  <si>
    <t>Anupam Rasayan</t>
  </si>
  <si>
    <t>3.) Stock Price Stability</t>
  </si>
  <si>
    <t>The stock's beta is 1.2675 which means the stock is about 26% more volatile than the broader market.</t>
  </si>
  <si>
    <t xml:space="preserve">4.) Growth in Revenue and Earnings	</t>
  </si>
  <si>
    <t>The stock has show high profit (20.6%) and sales growth (24.1%) better than most of its peers.</t>
  </si>
  <si>
    <t xml:space="preserve">5.) Environmental and Social Initiatives	</t>
  </si>
  <si>
    <t>1. Regulatory Compliance and Risk Mitigation
By adopting sustainable practices like zero liquid discharge (ZLD), renewable energy use, and proper waste management, the company ensures compliance with environmental regulations.
Avoiding penalties or legal issues fosters operational continuity and strengthens its reputation with regulators and stakeholders.
2. Cost Efficiency Through Sustainable Practices
Investments in renewable energy (e.g., solar power) and water recycling reduce long-term operating costs.
Efficient resource utilization minimizes waste, turning potential liabilities into value-adding processes.
3. Enhanced Brand Reputation
Commitment to sustainability and social responsibility attracts investors, customers, and partners who prioritize ethical and eco-friendly practices.
A strong ESG (Environmental, Social, and Governance) profile can lead to inclusion in sustainability indexes, further improving investor confidence.
4. Customer and Market Advantage
Many global customers, particularly in the specialty chemicals industry, prefer suppliers with strong environmental credentials.
Compliance with international sustainability standards enhances export opportunities and helps attract clients who are aligning with ESG goals.
5. Employee Retention and Productivity
Initiatives like workplace safety programs, skill development, and community engagement improve employee satisfaction and loyalty.
A motivated and skilled workforce contributes to long-term operational excellence.
6. Future-Proofing Against Market Trends
Global industries are increasingly moving toward green chemistry and sustainable products. Anupam Rasayan's focus on sustainability positions it well to adapt to market changes and regulations.
Its commitment to eco-friendly manufacturing gives it a competitive edge as customers and governments demand greener solutions.</t>
  </si>
  <si>
    <t>3/24/2021</t>
  </si>
  <si>
    <t>3/25/2021</t>
  </si>
  <si>
    <t>3/26/2021</t>
  </si>
  <si>
    <t>3/30/2021</t>
  </si>
  <si>
    <t>3/31/2021</t>
  </si>
  <si>
    <t>4/13/2021</t>
  </si>
  <si>
    <t>4/15/2021</t>
  </si>
  <si>
    <t>4/16/2021</t>
  </si>
  <si>
    <t>4/19/2021</t>
  </si>
  <si>
    <t>4/20/2021</t>
  </si>
  <si>
    <t>4/22/2021</t>
  </si>
  <si>
    <t>4/23/2021</t>
  </si>
  <si>
    <t>4/26/2021</t>
  </si>
  <si>
    <t>4/27/2021</t>
  </si>
  <si>
    <t>4/28/2021</t>
  </si>
  <si>
    <t>4/29/2021</t>
  </si>
  <si>
    <t>4/30/2021</t>
  </si>
  <si>
    <t>5/14/2021</t>
  </si>
  <si>
    <t>5/17/2021</t>
  </si>
  <si>
    <t>5/18/2021</t>
  </si>
  <si>
    <t>5/19/2021</t>
  </si>
  <si>
    <t>5/20/2021</t>
  </si>
  <si>
    <t>5/21/2021</t>
  </si>
  <si>
    <t>5/24/2021</t>
  </si>
  <si>
    <t>5/25/2021</t>
  </si>
  <si>
    <t>5/26/2021</t>
  </si>
  <si>
    <t>5/27/2021</t>
  </si>
  <si>
    <t>5/28/2021</t>
  </si>
  <si>
    <t>5/31/2021</t>
  </si>
  <si>
    <t>6/14/2021</t>
  </si>
  <si>
    <t>6/15/2021</t>
  </si>
  <si>
    <t>6/16/2021</t>
  </si>
  <si>
    <t>6/17/2021</t>
  </si>
  <si>
    <t>6/18/2021</t>
  </si>
  <si>
    <t>6/21/2021</t>
  </si>
  <si>
    <t>6/22/2021</t>
  </si>
  <si>
    <t>6/23/2021</t>
  </si>
  <si>
    <t>6/24/2021</t>
  </si>
  <si>
    <t>6/25/2021</t>
  </si>
  <si>
    <t>6/28/2021</t>
  </si>
  <si>
    <t>6/29/2021</t>
  </si>
  <si>
    <t>6/30/2021</t>
  </si>
  <si>
    <t>7/13/2021</t>
  </si>
  <si>
    <t>7/14/2021</t>
  </si>
  <si>
    <t>7/15/2021</t>
  </si>
  <si>
    <t>7/16/2021</t>
  </si>
  <si>
    <t>7/19/2021</t>
  </si>
  <si>
    <t>7/20/2021</t>
  </si>
  <si>
    <t>7/22/2021</t>
  </si>
  <si>
    <t>7/23/2021</t>
  </si>
  <si>
    <t>7/26/2021</t>
  </si>
  <si>
    <t>7/27/2021</t>
  </si>
  <si>
    <t>7/28/2021</t>
  </si>
  <si>
    <t>7/29/2021</t>
  </si>
  <si>
    <t>7/30/2021</t>
  </si>
  <si>
    <t>8/13/2021</t>
  </si>
  <si>
    <t>8/16/2021</t>
  </si>
  <si>
    <t>8/17/2021</t>
  </si>
  <si>
    <t>8/18/2021</t>
  </si>
  <si>
    <t>8/20/2021</t>
  </si>
  <si>
    <t>8/23/2021</t>
  </si>
  <si>
    <t>8/24/2021</t>
  </si>
  <si>
    <t>8/25/2021</t>
  </si>
  <si>
    <t>8/26/2021</t>
  </si>
  <si>
    <t>8/27/2021</t>
  </si>
  <si>
    <t>8/30/2021</t>
  </si>
  <si>
    <t>8/31/2021</t>
  </si>
  <si>
    <t>9/13/2021</t>
  </si>
  <si>
    <t>9/14/2021</t>
  </si>
  <si>
    <t>9/15/2021</t>
  </si>
  <si>
    <t>9/16/2021</t>
  </si>
  <si>
    <t>9/17/2021</t>
  </si>
  <si>
    <t>9/20/2021</t>
  </si>
  <si>
    <t>9/21/2021</t>
  </si>
  <si>
    <t>9/22/2021</t>
  </si>
  <si>
    <t>9/23/2021</t>
  </si>
  <si>
    <t>9/24/2021</t>
  </si>
  <si>
    <t>9/27/2021</t>
  </si>
  <si>
    <t>9/28/2021</t>
  </si>
  <si>
    <t>9/29/2021</t>
  </si>
  <si>
    <t>9/30/2021</t>
  </si>
  <si>
    <t>10/13/2021</t>
  </si>
  <si>
    <t>10/14/2021</t>
  </si>
  <si>
    <t>10/18/2021</t>
  </si>
  <si>
    <t>10/19/2021</t>
  </si>
  <si>
    <t>10/20/2021</t>
  </si>
  <si>
    <t>10/21/2021</t>
  </si>
  <si>
    <t>10/22/2021</t>
  </si>
  <si>
    <t>10/25/2021</t>
  </si>
  <si>
    <t>10/26/2021</t>
  </si>
  <si>
    <t>10/27/2021</t>
  </si>
  <si>
    <t>10/28/2021</t>
  </si>
  <si>
    <t>10/29/2021</t>
  </si>
  <si>
    <t>11/15/2021</t>
  </si>
  <si>
    <t>11/16/2021</t>
  </si>
  <si>
    <t>11/17/2021</t>
  </si>
  <si>
    <t>11/18/2021</t>
  </si>
  <si>
    <t>11/22/2021</t>
  </si>
  <si>
    <t>11/23/2021</t>
  </si>
  <si>
    <t>11/24/2021</t>
  </si>
  <si>
    <t>11/25/2021</t>
  </si>
  <si>
    <t>11/26/2021</t>
  </si>
  <si>
    <t>11/29/2021</t>
  </si>
  <si>
    <t>11/30/2021</t>
  </si>
  <si>
    <t>12/13/2021</t>
  </si>
  <si>
    <t>12/14/2021</t>
  </si>
  <si>
    <t>12/15/2021</t>
  </si>
  <si>
    <t>12/16/2021</t>
  </si>
  <si>
    <t>12/17/2021</t>
  </si>
  <si>
    <t>12/20/2021</t>
  </si>
  <si>
    <t>12/21/2021</t>
  </si>
  <si>
    <t>12/22/2021</t>
  </si>
  <si>
    <t>12/23/2021</t>
  </si>
  <si>
    <t>12/24/2021</t>
  </si>
  <si>
    <t>12/27/2021</t>
  </si>
  <si>
    <t>12/28/2021</t>
  </si>
  <si>
    <t>12/29/2021</t>
  </si>
  <si>
    <t>12/30/2021</t>
  </si>
  <si>
    <t>12/31/2021</t>
  </si>
  <si>
    <t>1/13/2022</t>
  </si>
  <si>
    <t>1/14/2022</t>
  </si>
  <si>
    <t>1/17/2022</t>
  </si>
  <si>
    <t>1/18/2022</t>
  </si>
  <si>
    <t>1/19/2022</t>
  </si>
  <si>
    <t>1/20/2022</t>
  </si>
  <si>
    <t>1/21/2022</t>
  </si>
  <si>
    <t>1/24/2022</t>
  </si>
  <si>
    <t>1/25/2022</t>
  </si>
  <si>
    <t>1/27/2022</t>
  </si>
  <si>
    <t>1/28/2022</t>
  </si>
  <si>
    <t>1/31/2022</t>
  </si>
  <si>
    <t>2/14/2022</t>
  </si>
  <si>
    <t>2/15/2022</t>
  </si>
  <si>
    <t>2/16/2022</t>
  </si>
  <si>
    <t>2/17/2022</t>
  </si>
  <si>
    <t>2/18/2022</t>
  </si>
  <si>
    <t>2/21/2022</t>
  </si>
  <si>
    <t>2/22/2022</t>
  </si>
  <si>
    <t>2/23/2022</t>
  </si>
  <si>
    <t>2/24/2022</t>
  </si>
  <si>
    <t>2/25/2022</t>
  </si>
  <si>
    <t>2/28/2022</t>
  </si>
  <si>
    <t>3/14/2022</t>
  </si>
  <si>
    <t>3/15/2022</t>
  </si>
  <si>
    <t>3/16/2022</t>
  </si>
  <si>
    <t>3/17/2022</t>
  </si>
  <si>
    <t>3/21/2022</t>
  </si>
  <si>
    <t>3/22/2022</t>
  </si>
  <si>
    <t>3/23/2022</t>
  </si>
  <si>
    <t>3/24/2022</t>
  </si>
  <si>
    <t>3/25/2022</t>
  </si>
  <si>
    <t>3/28/2022</t>
  </si>
  <si>
    <t>3/29/2022</t>
  </si>
  <si>
    <t>3/30/2022</t>
  </si>
  <si>
    <t>3/31/2022</t>
  </si>
  <si>
    <t>4/13/2022</t>
  </si>
  <si>
    <t>4/18/2022</t>
  </si>
  <si>
    <t>4/19/2022</t>
  </si>
  <si>
    <t>4/20/2022</t>
  </si>
  <si>
    <t>4/21/2022</t>
  </si>
  <si>
    <t>4/22/2022</t>
  </si>
  <si>
    <t>4/25/2022</t>
  </si>
  <si>
    <t>4/26/2022</t>
  </si>
  <si>
    <t>4/27/2022</t>
  </si>
  <si>
    <t>4/28/2022</t>
  </si>
  <si>
    <t>4/29/2022</t>
  </si>
  <si>
    <t>5/13/2022</t>
  </si>
  <si>
    <t>5/16/2022</t>
  </si>
  <si>
    <t>5/17/2022</t>
  </si>
  <si>
    <t>5/18/2022</t>
  </si>
  <si>
    <t>5/19/2022</t>
  </si>
  <si>
    <t>5/20/2022</t>
  </si>
  <si>
    <t>5/23/2022</t>
  </si>
  <si>
    <t>5/24/2022</t>
  </si>
  <si>
    <t>5/25/2022</t>
  </si>
  <si>
    <t>5/26/2022</t>
  </si>
  <si>
    <t>5/27/2022</t>
  </si>
  <si>
    <t>5/30/2022</t>
  </si>
  <si>
    <t>5/31/2022</t>
  </si>
  <si>
    <t>6/13/2022</t>
  </si>
  <si>
    <t>6/14/2022</t>
  </si>
  <si>
    <t>6/15/2022</t>
  </si>
  <si>
    <t>6/16/2022</t>
  </si>
  <si>
    <t>6/17/2022</t>
  </si>
  <si>
    <t>6/20/2022</t>
  </si>
  <si>
    <t>6/21/2022</t>
  </si>
  <si>
    <t>6/22/2022</t>
  </si>
  <si>
    <t>6/23/2022</t>
  </si>
  <si>
    <t>6/24/2022</t>
  </si>
  <si>
    <t>6/27/2022</t>
  </si>
  <si>
    <t>6/28/2022</t>
  </si>
  <si>
    <t>6/29/2022</t>
  </si>
  <si>
    <t>6/30/2022</t>
  </si>
  <si>
    <t>7/13/2022</t>
  </si>
  <si>
    <t>7/14/2022</t>
  </si>
  <si>
    <t>7/15/2022</t>
  </si>
  <si>
    <t>7/18/2022</t>
  </si>
  <si>
    <t>7/19/2022</t>
  </si>
  <si>
    <t>7/20/2022</t>
  </si>
  <si>
    <t>7/21/2022</t>
  </si>
  <si>
    <t>7/22/2022</t>
  </si>
  <si>
    <t>7/25/2022</t>
  </si>
  <si>
    <t>7/26/2022</t>
  </si>
  <si>
    <t>7/27/2022</t>
  </si>
  <si>
    <t>7/28/2022</t>
  </si>
  <si>
    <t>7/29/2022</t>
  </si>
  <si>
    <t>8/16/2022</t>
  </si>
  <si>
    <t>8/17/2022</t>
  </si>
  <si>
    <t>8/18/2022</t>
  </si>
  <si>
    <t>8/19/2022</t>
  </si>
  <si>
    <t>8/22/2022</t>
  </si>
  <si>
    <t>8/23/2022</t>
  </si>
  <si>
    <t>8/24/2022</t>
  </si>
  <si>
    <t>8/25/2022</t>
  </si>
  <si>
    <t>8/26/2022</t>
  </si>
  <si>
    <t>8/29/2022</t>
  </si>
  <si>
    <t>8/30/2022</t>
  </si>
  <si>
    <t>9/13/2022</t>
  </si>
  <si>
    <t>9/14/2022</t>
  </si>
  <si>
    <t>9/15/2022</t>
  </si>
  <si>
    <t>9/16/2022</t>
  </si>
  <si>
    <t>9/19/2022</t>
  </si>
  <si>
    <t>9/20/2022</t>
  </si>
  <si>
    <t>9/21/2022</t>
  </si>
  <si>
    <t>9/22/2022</t>
  </si>
  <si>
    <t>9/23/2022</t>
  </si>
  <si>
    <t>9/26/2022</t>
  </si>
  <si>
    <t>9/27/2022</t>
  </si>
  <si>
    <t>9/28/2022</t>
  </si>
  <si>
    <t>9/29/2022</t>
  </si>
  <si>
    <t>9/30/2022</t>
  </si>
  <si>
    <t>10/13/2022</t>
  </si>
  <si>
    <t>10/14/2022</t>
  </si>
  <si>
    <t>10/17/2022</t>
  </si>
  <si>
    <t>10/18/2022</t>
  </si>
  <si>
    <t>10/19/2022</t>
  </si>
  <si>
    <t>10/20/2022</t>
  </si>
  <si>
    <t>10/21/2022</t>
  </si>
  <si>
    <t>10/24/2022</t>
  </si>
  <si>
    <t>10/25/2022</t>
  </si>
  <si>
    <t>10/27/2022</t>
  </si>
  <si>
    <t>10/28/2022</t>
  </si>
  <si>
    <t>10/31/2022</t>
  </si>
  <si>
    <t>11/14/2022</t>
  </si>
  <si>
    <t>11/15/2022</t>
  </si>
  <si>
    <t>11/16/2022</t>
  </si>
  <si>
    <t>11/17/2022</t>
  </si>
  <si>
    <t>11/18/2022</t>
  </si>
  <si>
    <t>11/21/2022</t>
  </si>
  <si>
    <t>11/22/2022</t>
  </si>
  <si>
    <t>11/23/2022</t>
  </si>
  <si>
    <t>11/24/2022</t>
  </si>
  <si>
    <t>11/25/2022</t>
  </si>
  <si>
    <t>11/28/2022</t>
  </si>
  <si>
    <t>11/29/2022</t>
  </si>
  <si>
    <t>11/30/2022</t>
  </si>
  <si>
    <t>12/13/2022</t>
  </si>
  <si>
    <t>12/14/2022</t>
  </si>
  <si>
    <t>12/15/2022</t>
  </si>
  <si>
    <t>12/16/2022</t>
  </si>
  <si>
    <t>12/19/2022</t>
  </si>
  <si>
    <t>12/20/2022</t>
  </si>
  <si>
    <t>12/21/2022</t>
  </si>
  <si>
    <t>12/22/2022</t>
  </si>
  <si>
    <t>12/23/2022</t>
  </si>
  <si>
    <t>12/26/2022</t>
  </si>
  <si>
    <t>12/27/2022</t>
  </si>
  <si>
    <t>12/28/2022</t>
  </si>
  <si>
    <t>12/29/2022</t>
  </si>
  <si>
    <t>12/30/2022</t>
  </si>
  <si>
    <t>1/13/2023</t>
  </si>
  <si>
    <t>1/16/2023</t>
  </si>
  <si>
    <t>1/17/2023</t>
  </si>
  <si>
    <t>1/18/2023</t>
  </si>
  <si>
    <t>1/19/2023</t>
  </si>
  <si>
    <t>1/20/2023</t>
  </si>
  <si>
    <t>1/23/2023</t>
  </si>
  <si>
    <t>1/24/2023</t>
  </si>
  <si>
    <t>1/25/2023</t>
  </si>
  <si>
    <t>1/27/2023</t>
  </si>
  <si>
    <t>1/30/2023</t>
  </si>
  <si>
    <t>1/31/2023</t>
  </si>
  <si>
    <t>2/13/2023</t>
  </si>
  <si>
    <t>2/14/2023</t>
  </si>
  <si>
    <t>2/15/2023</t>
  </si>
  <si>
    <t>2/16/2023</t>
  </si>
  <si>
    <t>2/17/2023</t>
  </si>
  <si>
    <t>2/20/2023</t>
  </si>
  <si>
    <t>2/21/2023</t>
  </si>
  <si>
    <t>2/22/2023</t>
  </si>
  <si>
    <t>2/23/2023</t>
  </si>
  <si>
    <t>2/24/2023</t>
  </si>
  <si>
    <t>2/27/2023</t>
  </si>
  <si>
    <t>2/28/2023</t>
  </si>
  <si>
    <t>3/13/2023</t>
  </si>
  <si>
    <t>3/14/2023</t>
  </si>
  <si>
    <t>3/15/2023</t>
  </si>
  <si>
    <t>3/16/2023</t>
  </si>
  <si>
    <t>3/17/2023</t>
  </si>
  <si>
    <t>3/20/2023</t>
  </si>
  <si>
    <t>3/21/2023</t>
  </si>
  <si>
    <t>3/22/2023</t>
  </si>
  <si>
    <t>3/23/2023</t>
  </si>
  <si>
    <t>3/24/2023</t>
  </si>
  <si>
    <t>3/27/2023</t>
  </si>
  <si>
    <t>3/28/2023</t>
  </si>
  <si>
    <t>3/29/2023</t>
  </si>
  <si>
    <t>3/31/2023</t>
  </si>
  <si>
    <t>4/13/2023</t>
  </si>
  <si>
    <t>4/17/2023</t>
  </si>
  <si>
    <t>4/18/2023</t>
  </si>
  <si>
    <t>4/19/2023</t>
  </si>
  <si>
    <t>4/20/2023</t>
  </si>
  <si>
    <t>4/21/2023</t>
  </si>
  <si>
    <t>4/24/2023</t>
  </si>
  <si>
    <t>4/25/2023</t>
  </si>
  <si>
    <t>4/26/2023</t>
  </si>
  <si>
    <t>4/27/2023</t>
  </si>
  <si>
    <t>4/28/2023</t>
  </si>
  <si>
    <t>5/15/2023</t>
  </si>
  <si>
    <t>5/16/2023</t>
  </si>
  <si>
    <t>5/17/2023</t>
  </si>
  <si>
    <t>5/18/2023</t>
  </si>
  <si>
    <t>5/19/2023</t>
  </si>
  <si>
    <t>5/22/2023</t>
  </si>
  <si>
    <t>5/23/2023</t>
  </si>
  <si>
    <t>5/24/2023</t>
  </si>
  <si>
    <t>5/25/2023</t>
  </si>
  <si>
    <t>5/26/2023</t>
  </si>
  <si>
    <t>5/29/2023</t>
  </si>
  <si>
    <t>5/30/2023</t>
  </si>
  <si>
    <t>5/31/2023</t>
  </si>
  <si>
    <t>6/13/2023</t>
  </si>
  <si>
    <t>6/14/2023</t>
  </si>
  <si>
    <t>6/15/2023</t>
  </si>
  <si>
    <t>6/16/2023</t>
  </si>
  <si>
    <t>6/19/2023</t>
  </si>
  <si>
    <t>6/20/2023</t>
  </si>
  <si>
    <t>6/21/2023</t>
  </si>
  <si>
    <t>6/22/2023</t>
  </si>
  <si>
    <t>6/23/2023</t>
  </si>
  <si>
    <t>6/26/2023</t>
  </si>
  <si>
    <t>6/27/2023</t>
  </si>
  <si>
    <t>6/28/2023</t>
  </si>
  <si>
    <t>6/30/2023</t>
  </si>
  <si>
    <t>7/13/2023</t>
  </si>
  <si>
    <t>7/14/2023</t>
  </si>
  <si>
    <t>7/17/2023</t>
  </si>
  <si>
    <t>7/18/2023</t>
  </si>
  <si>
    <t>7/19/2023</t>
  </si>
  <si>
    <t>7/20/2023</t>
  </si>
  <si>
    <t>7/21/2023</t>
  </si>
  <si>
    <t>7/24/2023</t>
  </si>
  <si>
    <t>7/25/2023</t>
  </si>
  <si>
    <t>7/26/2023</t>
  </si>
  <si>
    <t>7/27/2023</t>
  </si>
  <si>
    <t>7/28/2023</t>
  </si>
  <si>
    <t>7/31/2023</t>
  </si>
  <si>
    <t>8/14/2023</t>
  </si>
  <si>
    <t>8/16/2023</t>
  </si>
  <si>
    <t>8/17/2023</t>
  </si>
  <si>
    <t>8/18/2023</t>
  </si>
  <si>
    <t>8/21/2023</t>
  </si>
  <si>
    <t>8/22/2023</t>
  </si>
  <si>
    <t>8/23/2023</t>
  </si>
  <si>
    <t>8/24/2023</t>
  </si>
  <si>
    <t>8/25/2023</t>
  </si>
  <si>
    <t>8/28/2023</t>
  </si>
  <si>
    <t>8/29/2023</t>
  </si>
  <si>
    <t>8/30/2023</t>
  </si>
  <si>
    <t>8/31/2023</t>
  </si>
  <si>
    <t>9/13/2023</t>
  </si>
  <si>
    <t>9/14/2023</t>
  </si>
  <si>
    <t>9/15/2023</t>
  </si>
  <si>
    <t>9/18/2023</t>
  </si>
  <si>
    <t>9/20/2023</t>
  </si>
  <si>
    <t>9/21/2023</t>
  </si>
  <si>
    <t>9/22/2023</t>
  </si>
  <si>
    <t>9/25/2023</t>
  </si>
  <si>
    <t>9/26/2023</t>
  </si>
  <si>
    <t>9/27/2023</t>
  </si>
  <si>
    <t>9/28/2023</t>
  </si>
  <si>
    <t>9/29/2023</t>
  </si>
  <si>
    <t>10/13/2023</t>
  </si>
  <si>
    <t>10/16/2023</t>
  </si>
  <si>
    <t>10/17/2023</t>
  </si>
  <si>
    <t>10/18/2023</t>
  </si>
  <si>
    <t>10/19/2023</t>
  </si>
  <si>
    <t>10/20/2023</t>
  </si>
  <si>
    <t>10/23/2023</t>
  </si>
  <si>
    <t>10/25/2023</t>
  </si>
  <si>
    <t>10/26/2023</t>
  </si>
  <si>
    <t>10/27/2023</t>
  </si>
  <si>
    <t>10/30/2023</t>
  </si>
  <si>
    <t>10/31/2023</t>
  </si>
  <si>
    <t>11/13/2023</t>
  </si>
  <si>
    <t>11/15/2023</t>
  </si>
  <si>
    <t>11/16/2023</t>
  </si>
  <si>
    <t>11/17/2023</t>
  </si>
  <si>
    <t>11/20/2023</t>
  </si>
  <si>
    <t>11/21/2023</t>
  </si>
  <si>
    <t>11/22/2023</t>
  </si>
  <si>
    <t>11/23/2023</t>
  </si>
  <si>
    <t>11/24/2023</t>
  </si>
  <si>
    <t>11/28/2023</t>
  </si>
  <si>
    <t>11/29/2023</t>
  </si>
  <si>
    <t>11/30/2023</t>
  </si>
  <si>
    <t>12/13/2023</t>
  </si>
  <si>
    <t>12/14/2023</t>
  </si>
  <si>
    <t>12/15/2023</t>
  </si>
  <si>
    <t>12/18/2023</t>
  </si>
  <si>
    <t>12/19/2023</t>
  </si>
  <si>
    <t>12/20/2023</t>
  </si>
  <si>
    <t>12/21/2023</t>
  </si>
  <si>
    <t>12/22/2023</t>
  </si>
  <si>
    <t>12/26/2023</t>
  </si>
  <si>
    <t>12/27/2023</t>
  </si>
  <si>
    <t>12/28/2023</t>
  </si>
  <si>
    <t>12/29/2023</t>
  </si>
  <si>
    <t>1/15/2024</t>
  </si>
  <si>
    <t>1/16/2024</t>
  </si>
  <si>
    <t>1/17/2024</t>
  </si>
  <si>
    <t>1/18/2024</t>
  </si>
  <si>
    <t>1/19/2024</t>
  </si>
  <si>
    <t>1/20/2024</t>
  </si>
  <si>
    <t>1/23/2024</t>
  </si>
  <si>
    <t>1/24/2024</t>
  </si>
  <si>
    <t>1/25/2024</t>
  </si>
  <si>
    <t>1/29/2024</t>
  </si>
  <si>
    <t>1/30/2024</t>
  </si>
  <si>
    <t>1/31/2024</t>
  </si>
  <si>
    <t>2/13/2024</t>
  </si>
  <si>
    <t>2/14/2024</t>
  </si>
  <si>
    <t>2/15/2024</t>
  </si>
  <si>
    <t>2/16/2024</t>
  </si>
  <si>
    <t>2/19/2024</t>
  </si>
  <si>
    <t>2/20/2024</t>
  </si>
  <si>
    <t>2/21/2024</t>
  </si>
  <si>
    <t>2/22/2024</t>
  </si>
  <si>
    <t>2/23/2024</t>
  </si>
  <si>
    <t>2/26/2024</t>
  </si>
  <si>
    <t>2/27/2024</t>
  </si>
  <si>
    <t>2/28/2024</t>
  </si>
  <si>
    <t>2/29/2024</t>
  </si>
  <si>
    <t>3/13/2024</t>
  </si>
  <si>
    <t>3/14/2024</t>
  </si>
  <si>
    <t>3/15/2024</t>
  </si>
  <si>
    <t>3/18/2024</t>
  </si>
  <si>
    <t>3/19/2024</t>
  </si>
  <si>
    <t>3/20/2024</t>
  </si>
  <si>
    <t>3/21/2024</t>
  </si>
  <si>
    <t>3/22/2024</t>
  </si>
  <si>
    <t>3/26/2024</t>
  </si>
  <si>
    <t>3/27/2024</t>
  </si>
  <si>
    <t>3/28/2024</t>
  </si>
  <si>
    <t>4/15/2024</t>
  </si>
  <si>
    <t>4/16/2024</t>
  </si>
  <si>
    <t>4/18/2024</t>
  </si>
  <si>
    <t>4/19/2024</t>
  </si>
  <si>
    <t>4/22/2024</t>
  </si>
  <si>
    <t>4/23/2024</t>
  </si>
  <si>
    <t>4/24/2024</t>
  </si>
  <si>
    <t>4/25/2024</t>
  </si>
  <si>
    <t>4/26/2024</t>
  </si>
  <si>
    <t>4/29/2024</t>
  </si>
  <si>
    <t>4/30/2024</t>
  </si>
  <si>
    <t>5/13/2024</t>
  </si>
  <si>
    <t>5/14/2024</t>
  </si>
  <si>
    <t>5/15/2024</t>
  </si>
  <si>
    <t>5/16/2024</t>
  </si>
  <si>
    <t>5/17/2024</t>
  </si>
  <si>
    <t>5/18/2024</t>
  </si>
  <si>
    <t>5/21/2024</t>
  </si>
  <si>
    <t>5/22/2024</t>
  </si>
  <si>
    <t>5/23/2024</t>
  </si>
  <si>
    <t>5/24/2024</t>
  </si>
  <si>
    <t>5/27/2024</t>
  </si>
  <si>
    <t>5/28/2024</t>
  </si>
  <si>
    <t>5/29/2024</t>
  </si>
  <si>
    <t>5/30/2024</t>
  </si>
  <si>
    <t>5/31/2024</t>
  </si>
  <si>
    <t>6/13/2024</t>
  </si>
  <si>
    <t>6/14/2024</t>
  </si>
  <si>
    <t>6/18/2024</t>
  </si>
  <si>
    <t>6/19/2024</t>
  </si>
  <si>
    <t>6/20/2024</t>
  </si>
  <si>
    <t>6/21/2024</t>
  </si>
  <si>
    <t>6/24/2024</t>
  </si>
  <si>
    <t>6/25/2024</t>
  </si>
  <si>
    <t>6/26/2024</t>
  </si>
  <si>
    <t>6/27/2024</t>
  </si>
  <si>
    <t>6/28/2024</t>
  </si>
  <si>
    <t>7/15/2024</t>
  </si>
  <si>
    <t>7/16/2024</t>
  </si>
  <si>
    <t>7/18/2024</t>
  </si>
  <si>
    <t>7/19/2024</t>
  </si>
  <si>
    <t>7/22/2024</t>
  </si>
  <si>
    <t>7/23/2024</t>
  </si>
  <si>
    <t>7/24/2024</t>
  </si>
  <si>
    <t>7/25/2024</t>
  </si>
  <si>
    <t>7/26/2024</t>
  </si>
  <si>
    <t>7/29/2024</t>
  </si>
  <si>
    <t>7/30/2024</t>
  </si>
  <si>
    <t>7/31/2024</t>
  </si>
  <si>
    <t>8/13/2024</t>
  </si>
  <si>
    <t>8/14/2024</t>
  </si>
  <si>
    <t>8/16/2024</t>
  </si>
  <si>
    <t>8/19/2024</t>
  </si>
  <si>
    <t>8/20/2024</t>
  </si>
  <si>
    <t>8/21/2024</t>
  </si>
  <si>
    <t>8/22/2024</t>
  </si>
  <si>
    <t>8/23/2024</t>
  </si>
  <si>
    <t>8/26/2024</t>
  </si>
  <si>
    <t>8/27/2024</t>
  </si>
  <si>
    <t>8/28/2024</t>
  </si>
  <si>
    <t>8/29/2024</t>
  </si>
  <si>
    <t>8/30/2024</t>
  </si>
  <si>
    <t>9/13/2024</t>
  </si>
  <si>
    <t>9/16/2024</t>
  </si>
  <si>
    <t>9/17/2024</t>
  </si>
  <si>
    <t>9/18/2024</t>
  </si>
  <si>
    <t>9/19/2024</t>
  </si>
  <si>
    <t>9/20/2024</t>
  </si>
  <si>
    <t>9/23/2024</t>
  </si>
  <si>
    <t>9/24/2024</t>
  </si>
  <si>
    <t>9/25/2024</t>
  </si>
  <si>
    <t>9/26/2024</t>
  </si>
  <si>
    <t>9/27/2024</t>
  </si>
  <si>
    <t>9/30/2024</t>
  </si>
  <si>
    <t>10/14/2024</t>
  </si>
  <si>
    <t>10/15/2024</t>
  </si>
  <si>
    <t>10/16/2024</t>
  </si>
  <si>
    <t>10/17/2024</t>
  </si>
  <si>
    <t>10/18/2024</t>
  </si>
  <si>
    <t>10/21/2024</t>
  </si>
  <si>
    <t>10/22/2024</t>
  </si>
  <si>
    <t>10/23/2024</t>
  </si>
  <si>
    <t>10/24/2024</t>
  </si>
  <si>
    <t>10/25/2024</t>
  </si>
  <si>
    <t>10/28/2024</t>
  </si>
  <si>
    <t>10/29/2024</t>
  </si>
  <si>
    <t>10/30/2024</t>
  </si>
  <si>
    <t>10/31/2024</t>
  </si>
  <si>
    <t>11/13/2024</t>
  </si>
  <si>
    <t>11/14/2024</t>
  </si>
  <si>
    <t>11/18/2024</t>
  </si>
  <si>
    <t>11/19/2024</t>
  </si>
  <si>
    <t>11/21/2024</t>
  </si>
  <si>
    <t>11/22/2024</t>
  </si>
  <si>
    <t>11/25/2024</t>
  </si>
  <si>
    <t>11/26/2024</t>
  </si>
  <si>
    <t xml:space="preserve"> Company’s Ability to Service its Debt</t>
  </si>
  <si>
    <t>OVERALL ANALYSIS</t>
  </si>
  <si>
    <t>S.No</t>
  </si>
  <si>
    <t>ID</t>
  </si>
  <si>
    <t>Name</t>
  </si>
  <si>
    <t>Company Assigned</t>
  </si>
  <si>
    <t>Vishwam Aggarwal</t>
  </si>
  <si>
    <t>Anupam Rasayan Ltd.</t>
  </si>
  <si>
    <t>2022A3PS1224P</t>
  </si>
  <si>
    <t>Anand Kashyap</t>
  </si>
  <si>
    <t>2022A1PS0883P</t>
  </si>
  <si>
    <t>Samagra Kumar Tiwari</t>
  </si>
  <si>
    <t>2022A1PS1356P</t>
  </si>
  <si>
    <t>2022A1PS1075P</t>
  </si>
  <si>
    <t>Ayush Saharia</t>
  </si>
  <si>
    <t>EBITDA MARGIN</t>
  </si>
  <si>
    <t>EBIT MARGIN</t>
  </si>
  <si>
    <t>NET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</si>
</sst>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 #,##0.00;[Red]&quot;₹&quot;\ \-#,##0.00"/>
    <numFmt numFmtId="164" formatCode="_ [$₹-44D]\ * #,##0.00_ ;_ [$₹-44D]\ * \-#,##0.00_ ;_ [$₹-44D]\ * &quot;-&quot;??_ ;_ @_ "/>
  </numFmts>
  <fonts count="17" x14ac:knownFonts="1">
    <font>
      <sz val="11"/>
      <color theme="1"/>
      <name val="Aptos Narrow"/>
      <family val="2"/>
      <scheme val="minor"/>
    </font>
    <font>
      <u/>
      <sz val="11"/>
      <color theme="10"/>
      <name val="Aptos Narrow"/>
      <family val="2"/>
      <scheme val="minor"/>
    </font>
    <font>
      <b/>
      <sz val="11"/>
      <color theme="1"/>
      <name val="Aptos Narrow"/>
      <family val="2"/>
      <scheme val="minor"/>
    </font>
    <font>
      <b/>
      <u/>
      <sz val="11"/>
      <color theme="1"/>
      <name val="Aptos Narrow"/>
      <family val="2"/>
      <scheme val="minor"/>
    </font>
    <font>
      <i/>
      <sz val="11"/>
      <color theme="1"/>
      <name val="Aptos Narrow"/>
      <family val="2"/>
      <scheme val="minor"/>
    </font>
    <font>
      <sz val="11"/>
      <color rgb="FF006100"/>
      <name val="Aptos Narrow"/>
      <family val="2"/>
      <scheme val="minor"/>
    </font>
    <font>
      <sz val="11"/>
      <color rgb="FF9C5700"/>
      <name val="Aptos Narrow"/>
      <family val="2"/>
      <scheme val="minor"/>
    </font>
    <font>
      <sz val="11"/>
      <color rgb="FF9C0006"/>
      <name val="Aptos Narrow"/>
      <family val="2"/>
      <scheme val="minor"/>
    </font>
    <font>
      <sz val="11"/>
      <color rgb="FF3F3F76"/>
      <name val="Aptos Narrow"/>
      <family val="2"/>
      <scheme val="minor"/>
    </font>
    <font>
      <b/>
      <sz val="11"/>
      <color rgb="FFFA7D00"/>
      <name val="Aptos Narrow"/>
      <family val="2"/>
      <scheme val="minor"/>
    </font>
    <font>
      <b/>
      <sz val="11"/>
      <color rgb="FF3F3F3F"/>
      <name val="Aptos Narrow"/>
      <family val="2"/>
      <scheme val="minor"/>
    </font>
    <font>
      <b/>
      <sz val="11"/>
      <color theme="0"/>
      <name val="Aptos Narrow"/>
      <family val="2"/>
      <scheme val="minor"/>
    </font>
    <font>
      <sz val="11"/>
      <color theme="1"/>
      <name val="Aptos Narrow"/>
      <family val="2"/>
      <scheme val="minor"/>
    </font>
    <font>
      <sz val="11"/>
      <color theme="0"/>
      <name val="Aptos Narrow"/>
      <family val="2"/>
      <scheme val="minor"/>
    </font>
    <font>
      <sz val="11"/>
      <color rgb="FF000000"/>
      <name val="Aptos Narrow"/>
      <family val="2"/>
      <scheme val="minor"/>
    </font>
    <font>
      <b/>
      <u/>
      <sz val="11"/>
      <color theme="0"/>
      <name val="Aptos Narrow"/>
      <family val="2"/>
      <scheme val="minor"/>
    </font>
    <font>
      <sz val="11"/>
      <color theme="6" tint="-0.499984740745262"/>
      <name val="Aptos Narrow"/>
      <family val="2"/>
      <scheme val="minor"/>
    </font>
  </fonts>
  <fills count="13">
    <fill>
      <patternFill patternType="none"/>
    </fill>
    <fill>
      <patternFill patternType="gray125"/>
    </fill>
    <fill>
      <patternFill patternType="solid">
        <fgColor rgb="FFC6EFCE"/>
      </patternFill>
    </fill>
    <fill>
      <patternFill patternType="solid">
        <fgColor rgb="FFFFEB9C"/>
      </patternFill>
    </fill>
    <fill>
      <patternFill patternType="solid">
        <fgColor rgb="FFFFC7CE"/>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tint="0.59999389629810485"/>
        <bgColor indexed="65"/>
      </patternFill>
    </fill>
    <fill>
      <patternFill patternType="solid">
        <fgColor theme="5"/>
      </patternFill>
    </fill>
    <fill>
      <patternFill patternType="solid">
        <fgColor rgb="FFFFFF00"/>
        <bgColor indexed="64"/>
      </patternFill>
    </fill>
    <fill>
      <patternFill patternType="solid">
        <fgColor theme="6" tint="0.39997558519241921"/>
        <bgColor indexed="64"/>
      </patternFill>
    </fill>
    <fill>
      <patternFill patternType="solid">
        <fgColor rgb="FF00B0F0"/>
        <bgColor indexed="64"/>
      </patternFill>
    </fill>
  </fills>
  <borders count="6">
    <border>
      <left/>
      <right/>
      <top/>
      <bottom/>
      <diagonal/>
    </border>
    <border>
      <left/>
      <right/>
      <top/>
      <bottom style="medium">
        <color indexed="64"/>
      </bottom>
      <diagonal/>
    </border>
    <border>
      <left/>
      <right/>
      <top style="medium">
        <color indexed="64"/>
      </top>
      <bottom style="thin">
        <color indexed="6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s>
  <cellStyleXfs count="11">
    <xf numFmtId="0" fontId="0" fillId="0" borderId="0"/>
    <xf numFmtId="0" fontId="1" fillId="0" borderId="0" applyNumberFormat="0" applyFill="0" applyBorder="0" applyAlignment="0" applyProtection="0"/>
    <xf numFmtId="0" fontId="5" fillId="2" borderId="0" applyNumberFormat="0" applyBorder="0" applyAlignment="0" applyProtection="0"/>
    <xf numFmtId="0" fontId="6" fillId="3" borderId="0" applyNumberFormat="0" applyBorder="0" applyAlignment="0" applyProtection="0"/>
    <xf numFmtId="0" fontId="7" fillId="4" borderId="0" applyNumberFormat="0" applyBorder="0" applyAlignment="0" applyProtection="0"/>
    <xf numFmtId="0" fontId="8" fillId="5" borderId="3" applyNumberFormat="0" applyAlignment="0" applyProtection="0"/>
    <xf numFmtId="0" fontId="9" fillId="6" borderId="3" applyNumberFormat="0" applyAlignment="0" applyProtection="0"/>
    <xf numFmtId="0" fontId="10" fillId="6" borderId="4" applyNumberFormat="0" applyAlignment="0" applyProtection="0"/>
    <xf numFmtId="0" fontId="11" fillId="7" borderId="5" applyNumberFormat="0" applyAlignment="0" applyProtection="0"/>
    <xf numFmtId="0" fontId="12" fillId="8" borderId="0" applyNumberFormat="0" applyBorder="0" applyAlignment="0" applyProtection="0"/>
    <xf numFmtId="0" fontId="13" fillId="9" borderId="0" applyNumberFormat="0" applyBorder="0" applyAlignment="0" applyProtection="0"/>
  </cellStyleXfs>
  <cellXfs count="52">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wrapText="1"/>
    </xf>
    <xf numFmtId="17" fontId="0" fillId="0" borderId="0" xfId="0" applyNumberFormat="1"/>
    <xf numFmtId="0" fontId="2" fillId="0" borderId="0" xfId="0" applyFont="1"/>
    <xf numFmtId="0" fontId="3" fillId="0" borderId="0" xfId="0" applyFont="1"/>
    <xf numFmtId="0" fontId="0" fillId="0" borderId="1" xfId="0" applyBorder="1"/>
    <xf numFmtId="0" fontId="4" fillId="0" borderId="2" xfId="0" applyFont="1" applyBorder="1" applyAlignment="1">
      <alignment horizontal="center"/>
    </xf>
    <xf numFmtId="0" fontId="4" fillId="0" borderId="2" xfId="0" applyFont="1" applyBorder="1" applyAlignment="1">
      <alignment horizontal="centerContinuous"/>
    </xf>
    <xf numFmtId="0" fontId="0" fillId="0" borderId="0" xfId="0" applyAlignment="1">
      <alignment horizontal="center"/>
    </xf>
    <xf numFmtId="4" fontId="0" fillId="0" borderId="0" xfId="0" applyNumberFormat="1"/>
    <xf numFmtId="0" fontId="5" fillId="2" borderId="0" xfId="2"/>
    <xf numFmtId="0" fontId="8" fillId="5" borderId="3" xfId="5"/>
    <xf numFmtId="0" fontId="11" fillId="7" borderId="5" xfId="8" applyAlignment="1"/>
    <xf numFmtId="0" fontId="11" fillId="7" borderId="5" xfId="8"/>
    <xf numFmtId="0" fontId="10" fillId="6" borderId="4" xfId="7"/>
    <xf numFmtId="0" fontId="9" fillId="6" borderId="3" xfId="6"/>
    <xf numFmtId="164" fontId="0" fillId="0" borderId="0" xfId="0" applyNumberFormat="1"/>
    <xf numFmtId="0" fontId="10" fillId="6" borderId="4" xfId="7" applyAlignment="1">
      <alignment wrapText="1"/>
    </xf>
    <xf numFmtId="0" fontId="14" fillId="0" borderId="0" xfId="0" applyFont="1"/>
    <xf numFmtId="8" fontId="14" fillId="0" borderId="0" xfId="0" applyNumberFormat="1" applyFont="1"/>
    <xf numFmtId="14" fontId="14" fillId="0" borderId="0" xfId="0" applyNumberFormat="1" applyFont="1"/>
    <xf numFmtId="0" fontId="8" fillId="5" borderId="3" xfId="5" applyAlignment="1">
      <alignment wrapText="1"/>
    </xf>
    <xf numFmtId="0" fontId="0" fillId="12" borderId="0" xfId="0" applyFill="1"/>
    <xf numFmtId="0" fontId="0" fillId="10" borderId="0" xfId="0" applyFill="1"/>
    <xf numFmtId="0" fontId="2" fillId="10" borderId="0" xfId="0" applyFont="1" applyFill="1"/>
    <xf numFmtId="0" fontId="0" fillId="12" borderId="0" xfId="0" applyFill="1" applyAlignment="1">
      <alignment wrapText="1"/>
    </xf>
    <xf numFmtId="0" fontId="0" fillId="11" borderId="0" xfId="0" applyFill="1"/>
    <xf numFmtId="0" fontId="0" fillId="0" borderId="0" xfId="0" applyAlignment="1">
      <alignment horizontal="center"/>
    </xf>
    <xf numFmtId="0" fontId="16" fillId="11" borderId="0" xfId="0" applyFont="1" applyFill="1" applyAlignment="1">
      <alignment horizontal="center"/>
    </xf>
    <xf numFmtId="0" fontId="0" fillId="11" borderId="0" xfId="0" applyFill="1" applyAlignment="1">
      <alignment horizontal="center"/>
    </xf>
    <xf numFmtId="0" fontId="0" fillId="12" borderId="0" xfId="0" applyFill="1" applyAlignment="1">
      <alignment horizontal="center"/>
    </xf>
    <xf numFmtId="0" fontId="1" fillId="0" borderId="0" xfId="1" applyAlignment="1">
      <alignment horizontal="center"/>
    </xf>
    <xf numFmtId="0" fontId="0" fillId="0" borderId="0" xfId="0" applyAlignment="1">
      <alignment horizontal="center" wrapText="1"/>
    </xf>
    <xf numFmtId="0" fontId="3" fillId="10" borderId="0" xfId="0" applyFont="1" applyFill="1" applyAlignment="1">
      <alignment horizontal="center"/>
    </xf>
    <xf numFmtId="0" fontId="2" fillId="12" borderId="0" xfId="0" applyFont="1" applyFill="1" applyAlignment="1">
      <alignment horizontal="center"/>
    </xf>
    <xf numFmtId="0" fontId="0" fillId="12" borderId="0" xfId="0" applyFill="1" applyAlignment="1">
      <alignment horizontal="center" wrapText="1"/>
    </xf>
    <xf numFmtId="0" fontId="3" fillId="10" borderId="0" xfId="0" applyFont="1" applyFill="1" applyAlignment="1">
      <alignment horizontal="center" wrapText="1"/>
    </xf>
    <xf numFmtId="0" fontId="3" fillId="0" borderId="0" xfId="0" applyFont="1" applyAlignment="1">
      <alignment horizontal="center" wrapText="1"/>
    </xf>
    <xf numFmtId="0" fontId="0" fillId="10" borderId="0" xfId="0" applyFill="1" applyAlignment="1">
      <alignment horizontal="center" wrapText="1"/>
    </xf>
    <xf numFmtId="0" fontId="3" fillId="11" borderId="0" xfId="0" applyFont="1" applyFill="1" applyAlignment="1">
      <alignment horizontal="center"/>
    </xf>
    <xf numFmtId="0" fontId="0" fillId="0" borderId="0" xfId="0" applyAlignment="1">
      <alignment horizontal="left"/>
    </xf>
    <xf numFmtId="0" fontId="0" fillId="0" borderId="0" xfId="0" applyAlignment="1">
      <alignment horizontal="center" vertical="center" wrapText="1"/>
    </xf>
    <xf numFmtId="0" fontId="0" fillId="0" borderId="0" xfId="0" applyAlignment="1">
      <alignment horizontal="center" vertical="center"/>
    </xf>
    <xf numFmtId="0" fontId="7" fillId="4" borderId="0" xfId="4" applyAlignment="1">
      <alignment horizontal="center"/>
    </xf>
    <xf numFmtId="0" fontId="15" fillId="9" borderId="0" xfId="10" applyFont="1" applyBorder="1" applyAlignment="1">
      <alignment horizontal="center" vertical="center"/>
    </xf>
    <xf numFmtId="0" fontId="3" fillId="8" borderId="0" xfId="9" applyFont="1" applyAlignment="1">
      <alignment horizontal="center"/>
    </xf>
    <xf numFmtId="0" fontId="2" fillId="0" borderId="0" xfId="0" applyFont="1" applyAlignment="1">
      <alignment horizontal="center"/>
    </xf>
    <xf numFmtId="0" fontId="6" fillId="3" borderId="0" xfId="3" applyAlignment="1">
      <alignment horizontal="center"/>
    </xf>
    <xf numFmtId="0" fontId="0" fillId="0" borderId="0" xfId="0" applyAlignment="1">
      <alignment horizontal="left" wrapText="1"/>
    </xf>
  </cellXfs>
  <cellStyles count="11">
    <cellStyle name="40% - Accent1" xfId="9" builtinId="31"/>
    <cellStyle name="Accent2" xfId="10" builtinId="33"/>
    <cellStyle name="Bad" xfId="4" builtinId="27"/>
    <cellStyle name="Calculation" xfId="6" builtinId="22"/>
    <cellStyle name="Check Cell" xfId="8" builtinId="23"/>
    <cellStyle name="Good" xfId="2" builtinId="26"/>
    <cellStyle name="Hyperlink" xfId="1" builtinId="8"/>
    <cellStyle name="Input" xfId="5" builtinId="20"/>
    <cellStyle name="Neutral" xfId="3" builtinId="28"/>
    <cellStyle name="Normal" xfId="0" builtinId="0"/>
    <cellStyle name="Output" xfId="7" builtinId="2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microsoft.com/office/2017/06/relationships/rdRichValueStructure" Target="richData/rdrichvaluestructure.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SupportingPropertyBag" Target="richData/rdsupporting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SupportingPropertyBagStructure" Target="richData/rdsupportingpropertybagstructure.xml"/><Relationship Id="rId10" Type="http://schemas.openxmlformats.org/officeDocument/2006/relationships/sharedStrings" Target="sharedStrings.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ichStyles" Target="richData/rich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Dividend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'CAPM (Monthly) (Part-1)'!$AF$2</c:f>
              <c:strCache>
                <c:ptCount val="1"/>
                <c:pt idx="0">
                  <c:v>Sum of Dividend (Rs)</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Lit>
              <c:ptCount val="4"/>
              <c:pt idx="0">
                <c:v>2021</c:v>
              </c:pt>
              <c:pt idx="1">
                <c:v>2022</c:v>
              </c:pt>
              <c:pt idx="2">
                <c:v>2023</c:v>
              </c:pt>
              <c:pt idx="3">
                <c:v>2024</c:v>
              </c:pt>
            </c:strLit>
          </c:cat>
          <c:val>
            <c:numLit>
              <c:formatCode>General</c:formatCode>
              <c:ptCount val="4"/>
              <c:pt idx="0">
                <c:v>3</c:v>
              </c:pt>
              <c:pt idx="1">
                <c:v>2.1999999999999997</c:v>
              </c:pt>
              <c:pt idx="2">
                <c:v>2.6</c:v>
              </c:pt>
              <c:pt idx="3">
                <c:v>0.75</c:v>
              </c:pt>
            </c:numLit>
          </c:val>
          <c:smooth val="0"/>
          <c:extLst>
            <c:ext xmlns:c16="http://schemas.microsoft.com/office/drawing/2014/chart" uri="{C3380CC4-5D6E-409C-BE32-E72D297353CC}">
              <c16:uniqueId val="{00000000-F9C0-4976-9E9C-BE0CBE88FBD5}"/>
            </c:ext>
          </c:extLst>
        </c:ser>
        <c:dLbls>
          <c:showLegendKey val="0"/>
          <c:showVal val="0"/>
          <c:showCatName val="0"/>
          <c:showSerName val="0"/>
          <c:showPercent val="0"/>
          <c:showBubbleSize val="0"/>
        </c:dLbls>
        <c:smooth val="0"/>
        <c:axId val="2044520560"/>
        <c:axId val="2044533520"/>
      </c:lineChart>
      <c:catAx>
        <c:axId val="20445205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533520"/>
        <c:crosses val="autoZero"/>
        <c:auto val="1"/>
        <c:lblAlgn val="ctr"/>
        <c:lblOffset val="100"/>
        <c:noMultiLvlLbl val="0"/>
      </c:catAx>
      <c:valAx>
        <c:axId val="2044533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Dividend Paid</a:t>
                </a:r>
                <a:r>
                  <a:rPr lang="en-IN" baseline="0"/>
                  <a:t> (Rs)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520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Debt Ratio Variation</c:v>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numRef>
              <c:f>'Part-2 (Balance Sheet)'!$D$2:$I$2</c:f>
              <c:numCache>
                <c:formatCode>General</c:formatCode>
                <c:ptCount val="6"/>
                <c:pt idx="0">
                  <c:v>2019</c:v>
                </c:pt>
                <c:pt idx="1">
                  <c:v>2020</c:v>
                </c:pt>
                <c:pt idx="2">
                  <c:v>2021</c:v>
                </c:pt>
                <c:pt idx="3">
                  <c:v>2022</c:v>
                </c:pt>
                <c:pt idx="4">
                  <c:v>2023</c:v>
                </c:pt>
                <c:pt idx="5">
                  <c:v>2024</c:v>
                </c:pt>
              </c:numCache>
            </c:numRef>
          </c:cat>
          <c:val>
            <c:numRef>
              <c:f>'Part-2 (Balance Sheet)'!$R$5:$W$5</c:f>
              <c:numCache>
                <c:formatCode>General</c:formatCode>
                <c:ptCount val="6"/>
                <c:pt idx="0">
                  <c:v>0.61655198487712659</c:v>
                </c:pt>
                <c:pt idx="1">
                  <c:v>0.64336529910832319</c:v>
                </c:pt>
                <c:pt idx="2">
                  <c:v>0.3153176675369887</c:v>
                </c:pt>
                <c:pt idx="3">
                  <c:v>0.40258980958706964</c:v>
                </c:pt>
                <c:pt idx="4">
                  <c:v>0.33612411062171776</c:v>
                </c:pt>
                <c:pt idx="5">
                  <c:v>0.36313121106033242</c:v>
                </c:pt>
              </c:numCache>
            </c:numRef>
          </c:val>
          <c:smooth val="0"/>
          <c:extLst>
            <c:ext xmlns:c16="http://schemas.microsoft.com/office/drawing/2014/chart" uri="{C3380CC4-5D6E-409C-BE32-E72D297353CC}">
              <c16:uniqueId val="{00000000-61DB-4C4C-AF6F-BAFB020714F0}"/>
            </c:ext>
          </c:extLst>
        </c:ser>
        <c:dLbls>
          <c:showLegendKey val="0"/>
          <c:showVal val="0"/>
          <c:showCatName val="0"/>
          <c:showSerName val="0"/>
          <c:showPercent val="0"/>
          <c:showBubbleSize val="0"/>
        </c:dLbls>
        <c:marker val="1"/>
        <c:smooth val="0"/>
        <c:axId val="1631533935"/>
        <c:axId val="1631532495"/>
      </c:lineChart>
      <c:catAx>
        <c:axId val="163153393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 (FY 2019-24)</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532495"/>
        <c:crosses val="autoZero"/>
        <c:auto val="1"/>
        <c:lblAlgn val="ctr"/>
        <c:lblOffset val="100"/>
        <c:noMultiLvlLbl val="0"/>
      </c:catAx>
      <c:valAx>
        <c:axId val="16315324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Debt-Ratio</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533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Equity Ratio Variation</a:t>
            </a:r>
            <a:r>
              <a:rPr lang="en-US" baseline="0"/>
              <a:t> over Years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Equity Ratio</c:v>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numRef>
              <c:f>'Part-2 (Balance Sheet)'!$D$2:$I$2</c:f>
              <c:numCache>
                <c:formatCode>General</c:formatCode>
                <c:ptCount val="6"/>
                <c:pt idx="0">
                  <c:v>2019</c:v>
                </c:pt>
                <c:pt idx="1">
                  <c:v>2020</c:v>
                </c:pt>
                <c:pt idx="2">
                  <c:v>2021</c:v>
                </c:pt>
                <c:pt idx="3">
                  <c:v>2022</c:v>
                </c:pt>
                <c:pt idx="4">
                  <c:v>2023</c:v>
                </c:pt>
                <c:pt idx="5">
                  <c:v>2024</c:v>
                </c:pt>
              </c:numCache>
            </c:numRef>
          </c:cat>
          <c:val>
            <c:numRef>
              <c:f>'Part-2 (Balance Sheet)'!$R$6:$W$6</c:f>
              <c:numCache>
                <c:formatCode>General</c:formatCode>
                <c:ptCount val="6"/>
                <c:pt idx="0">
                  <c:v>0.38344801512287335</c:v>
                </c:pt>
                <c:pt idx="1">
                  <c:v>0.35663470089167687</c:v>
                </c:pt>
                <c:pt idx="2">
                  <c:v>0.68468233246301136</c:v>
                </c:pt>
                <c:pt idx="3">
                  <c:v>0.59741019041293031</c:v>
                </c:pt>
                <c:pt idx="4">
                  <c:v>0.66387588937828224</c:v>
                </c:pt>
                <c:pt idx="5">
                  <c:v>0.63686878893966747</c:v>
                </c:pt>
              </c:numCache>
            </c:numRef>
          </c:val>
          <c:smooth val="0"/>
          <c:extLst>
            <c:ext xmlns:c16="http://schemas.microsoft.com/office/drawing/2014/chart" uri="{C3380CC4-5D6E-409C-BE32-E72D297353CC}">
              <c16:uniqueId val="{00000000-89C0-4FDF-B943-329DA0717515}"/>
            </c:ext>
          </c:extLst>
        </c:ser>
        <c:dLbls>
          <c:showLegendKey val="0"/>
          <c:showVal val="0"/>
          <c:showCatName val="0"/>
          <c:showSerName val="0"/>
          <c:showPercent val="0"/>
          <c:showBubbleSize val="0"/>
        </c:dLbls>
        <c:marker val="1"/>
        <c:smooth val="0"/>
        <c:axId val="1589955455"/>
        <c:axId val="1589955935"/>
      </c:lineChart>
      <c:catAx>
        <c:axId val="158995545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 (FY 2019-24)</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955935"/>
        <c:crosses val="autoZero"/>
        <c:auto val="1"/>
        <c:lblAlgn val="ctr"/>
        <c:lblOffset val="100"/>
        <c:noMultiLvlLbl val="0"/>
      </c:catAx>
      <c:valAx>
        <c:axId val="15899559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Equity-Ratio</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9554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Interest Coverage Ratio Variation over Year</c:v>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numRef>
              <c:f>'Part-2 (Balance Sheet)'!$R$26:$W$26</c:f>
              <c:numCache>
                <c:formatCode>General</c:formatCode>
                <c:ptCount val="6"/>
                <c:pt idx="0">
                  <c:v>2019</c:v>
                </c:pt>
                <c:pt idx="1">
                  <c:v>2020</c:v>
                </c:pt>
                <c:pt idx="2">
                  <c:v>2021</c:v>
                </c:pt>
                <c:pt idx="3">
                  <c:v>2022</c:v>
                </c:pt>
                <c:pt idx="4">
                  <c:v>2023</c:v>
                </c:pt>
                <c:pt idx="5">
                  <c:v>2024</c:v>
                </c:pt>
              </c:numCache>
            </c:numRef>
          </c:cat>
          <c:val>
            <c:numRef>
              <c:f>'Part-2 (Balance Sheet)'!$R$28:$W$28</c:f>
              <c:numCache>
                <c:formatCode>General</c:formatCode>
                <c:ptCount val="6"/>
                <c:pt idx="0">
                  <c:v>2.4591479428071197</c:v>
                </c:pt>
                <c:pt idx="1">
                  <c:v>3.6989733059548251</c:v>
                </c:pt>
                <c:pt idx="2">
                  <c:v>2.5832965090587718</c:v>
                </c:pt>
                <c:pt idx="3">
                  <c:v>2.4591479428071197</c:v>
                </c:pt>
                <c:pt idx="4">
                  <c:v>8.1959130716834263</c:v>
                </c:pt>
                <c:pt idx="5">
                  <c:v>5.9101500159591449</c:v>
                </c:pt>
              </c:numCache>
            </c:numRef>
          </c:val>
          <c:smooth val="0"/>
          <c:extLst>
            <c:ext xmlns:c16="http://schemas.microsoft.com/office/drawing/2014/chart" uri="{C3380CC4-5D6E-409C-BE32-E72D297353CC}">
              <c16:uniqueId val="{00000001-82B4-4B41-9E90-5BC92B3922AA}"/>
            </c:ext>
          </c:extLst>
        </c:ser>
        <c:dLbls>
          <c:showLegendKey val="0"/>
          <c:showVal val="0"/>
          <c:showCatName val="0"/>
          <c:showSerName val="0"/>
          <c:showPercent val="0"/>
          <c:showBubbleSize val="0"/>
        </c:dLbls>
        <c:marker val="1"/>
        <c:smooth val="0"/>
        <c:axId val="1364360047"/>
        <c:axId val="1364359087"/>
      </c:lineChart>
      <c:catAx>
        <c:axId val="136436004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Years (FY 2019-24)</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359087"/>
        <c:crosses val="autoZero"/>
        <c:auto val="1"/>
        <c:lblAlgn val="ctr"/>
        <c:lblOffset val="100"/>
        <c:noMultiLvlLbl val="0"/>
      </c:catAx>
      <c:valAx>
        <c:axId val="13643590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Interest Coverage Ratio</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360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DPS vs FY</c:v>
          </c:tx>
          <c:spPr>
            <a:ln w="19050"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xVal>
            <c:numRef>
              <c:f>'Part-2 (Balance Sheet)'!$R$47:$W$47</c:f>
              <c:numCache>
                <c:formatCode>General</c:formatCode>
                <c:ptCount val="6"/>
                <c:pt idx="0">
                  <c:v>2019</c:v>
                </c:pt>
                <c:pt idx="1">
                  <c:v>2020</c:v>
                </c:pt>
                <c:pt idx="2">
                  <c:v>2021</c:v>
                </c:pt>
                <c:pt idx="3">
                  <c:v>2022</c:v>
                </c:pt>
                <c:pt idx="4">
                  <c:v>2023</c:v>
                </c:pt>
                <c:pt idx="5">
                  <c:v>2024</c:v>
                </c:pt>
              </c:numCache>
            </c:numRef>
          </c:xVal>
          <c:yVal>
            <c:numRef>
              <c:f>'Part-2 (Balance Sheet)'!$R$49:$W$49</c:f>
              <c:numCache>
                <c:formatCode>General</c:formatCode>
                <c:ptCount val="6"/>
                <c:pt idx="0">
                  <c:v>0</c:v>
                </c:pt>
                <c:pt idx="1">
                  <c:v>0</c:v>
                </c:pt>
                <c:pt idx="2">
                  <c:v>0.5</c:v>
                </c:pt>
                <c:pt idx="3">
                  <c:v>1</c:v>
                </c:pt>
                <c:pt idx="4">
                  <c:v>2.5</c:v>
                </c:pt>
                <c:pt idx="5">
                  <c:v>1.25</c:v>
                </c:pt>
              </c:numCache>
            </c:numRef>
          </c:yVal>
          <c:smooth val="0"/>
          <c:extLst>
            <c:ext xmlns:c16="http://schemas.microsoft.com/office/drawing/2014/chart" uri="{C3380CC4-5D6E-409C-BE32-E72D297353CC}">
              <c16:uniqueId val="{00000001-34A0-4B15-9837-B8EB8A582476}"/>
            </c:ext>
          </c:extLst>
        </c:ser>
        <c:dLbls>
          <c:showLegendKey val="0"/>
          <c:showVal val="0"/>
          <c:showCatName val="0"/>
          <c:showSerName val="0"/>
          <c:showPercent val="0"/>
          <c:showBubbleSize val="0"/>
        </c:dLbls>
        <c:axId val="463461664"/>
        <c:axId val="463459744"/>
      </c:scatterChart>
      <c:valAx>
        <c:axId val="4634616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 (FY 2019-24)</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459744"/>
        <c:crosses val="autoZero"/>
        <c:crossBetween val="midCat"/>
      </c:valAx>
      <c:valAx>
        <c:axId val="4634597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DPS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46166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Debt Ratio Variation</c:v>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numRef>
              <c:f>'Part-2 (Balance Sheet)'!$D$2:$I$2</c:f>
              <c:numCache>
                <c:formatCode>General</c:formatCode>
                <c:ptCount val="6"/>
                <c:pt idx="0">
                  <c:v>2019</c:v>
                </c:pt>
                <c:pt idx="1">
                  <c:v>2020</c:v>
                </c:pt>
                <c:pt idx="2">
                  <c:v>2021</c:v>
                </c:pt>
                <c:pt idx="3">
                  <c:v>2022</c:v>
                </c:pt>
                <c:pt idx="4">
                  <c:v>2023</c:v>
                </c:pt>
                <c:pt idx="5">
                  <c:v>2024</c:v>
                </c:pt>
              </c:numCache>
            </c:numRef>
          </c:cat>
          <c:val>
            <c:numRef>
              <c:f>'Part-2 (Balance Sheet)'!$R$5:$W$5</c:f>
              <c:numCache>
                <c:formatCode>General</c:formatCode>
                <c:ptCount val="6"/>
                <c:pt idx="0">
                  <c:v>0.61655198487712659</c:v>
                </c:pt>
                <c:pt idx="1">
                  <c:v>0.64336529910832319</c:v>
                </c:pt>
                <c:pt idx="2">
                  <c:v>0.3153176675369887</c:v>
                </c:pt>
                <c:pt idx="3">
                  <c:v>0.40258980958706964</c:v>
                </c:pt>
                <c:pt idx="4">
                  <c:v>0.33612411062171776</c:v>
                </c:pt>
                <c:pt idx="5">
                  <c:v>0.36313121106033242</c:v>
                </c:pt>
              </c:numCache>
            </c:numRef>
          </c:val>
          <c:smooth val="0"/>
          <c:extLst>
            <c:ext xmlns:c16="http://schemas.microsoft.com/office/drawing/2014/chart" uri="{C3380CC4-5D6E-409C-BE32-E72D297353CC}">
              <c16:uniqueId val="{00000001-126D-4E78-915D-23D6D2153549}"/>
            </c:ext>
          </c:extLst>
        </c:ser>
        <c:dLbls>
          <c:showLegendKey val="0"/>
          <c:showVal val="0"/>
          <c:showCatName val="0"/>
          <c:showSerName val="0"/>
          <c:showPercent val="0"/>
          <c:showBubbleSize val="0"/>
        </c:dLbls>
        <c:marker val="1"/>
        <c:smooth val="0"/>
        <c:axId val="1631533935"/>
        <c:axId val="1631532495"/>
      </c:lineChart>
      <c:catAx>
        <c:axId val="163153393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 (FY 2019-24)</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532495"/>
        <c:crosses val="autoZero"/>
        <c:auto val="1"/>
        <c:lblAlgn val="ctr"/>
        <c:lblOffset val="100"/>
        <c:noMultiLvlLbl val="0"/>
      </c:catAx>
      <c:valAx>
        <c:axId val="16315324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Debt-Ratio</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533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Equity Ratio Variation</a:t>
            </a:r>
            <a:r>
              <a:rPr lang="en-US" baseline="0"/>
              <a:t> over Years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Equity Ratio</c:v>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numRef>
              <c:f>'Part-2 (Balance Sheet)'!$D$2:$I$2</c:f>
              <c:numCache>
                <c:formatCode>General</c:formatCode>
                <c:ptCount val="6"/>
                <c:pt idx="0">
                  <c:v>2019</c:v>
                </c:pt>
                <c:pt idx="1">
                  <c:v>2020</c:v>
                </c:pt>
                <c:pt idx="2">
                  <c:v>2021</c:v>
                </c:pt>
                <c:pt idx="3">
                  <c:v>2022</c:v>
                </c:pt>
                <c:pt idx="4">
                  <c:v>2023</c:v>
                </c:pt>
                <c:pt idx="5">
                  <c:v>2024</c:v>
                </c:pt>
              </c:numCache>
            </c:numRef>
          </c:cat>
          <c:val>
            <c:numRef>
              <c:f>'Part-2 (Balance Sheet)'!$R$6:$W$6</c:f>
              <c:numCache>
                <c:formatCode>General</c:formatCode>
                <c:ptCount val="6"/>
                <c:pt idx="0">
                  <c:v>0.38344801512287335</c:v>
                </c:pt>
                <c:pt idx="1">
                  <c:v>0.35663470089167687</c:v>
                </c:pt>
                <c:pt idx="2">
                  <c:v>0.68468233246301136</c:v>
                </c:pt>
                <c:pt idx="3">
                  <c:v>0.59741019041293031</c:v>
                </c:pt>
                <c:pt idx="4">
                  <c:v>0.66387588937828224</c:v>
                </c:pt>
                <c:pt idx="5">
                  <c:v>0.63686878893966747</c:v>
                </c:pt>
              </c:numCache>
            </c:numRef>
          </c:val>
          <c:smooth val="0"/>
          <c:extLst>
            <c:ext xmlns:c16="http://schemas.microsoft.com/office/drawing/2014/chart" uri="{C3380CC4-5D6E-409C-BE32-E72D297353CC}">
              <c16:uniqueId val="{00000001-57D1-4AEB-8617-29C38E40664E}"/>
            </c:ext>
          </c:extLst>
        </c:ser>
        <c:dLbls>
          <c:showLegendKey val="0"/>
          <c:showVal val="0"/>
          <c:showCatName val="0"/>
          <c:showSerName val="0"/>
          <c:showPercent val="0"/>
          <c:showBubbleSize val="0"/>
        </c:dLbls>
        <c:marker val="1"/>
        <c:smooth val="0"/>
        <c:axId val="1589955455"/>
        <c:axId val="1589955935"/>
      </c:lineChart>
      <c:catAx>
        <c:axId val="158995545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 (FY 2019-24)</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955935"/>
        <c:crosses val="autoZero"/>
        <c:auto val="1"/>
        <c:lblAlgn val="ctr"/>
        <c:lblOffset val="100"/>
        <c:noMultiLvlLbl val="0"/>
      </c:catAx>
      <c:valAx>
        <c:axId val="15899559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Equity-Ratio</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9554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Interest Coverage Ratio Variation over Year</c:v>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numRef>
              <c:f>'Part-2 (Balance Sheet)'!$R$26:$W$26</c:f>
              <c:numCache>
                <c:formatCode>General</c:formatCode>
                <c:ptCount val="6"/>
                <c:pt idx="0">
                  <c:v>2019</c:v>
                </c:pt>
                <c:pt idx="1">
                  <c:v>2020</c:v>
                </c:pt>
                <c:pt idx="2">
                  <c:v>2021</c:v>
                </c:pt>
                <c:pt idx="3">
                  <c:v>2022</c:v>
                </c:pt>
                <c:pt idx="4">
                  <c:v>2023</c:v>
                </c:pt>
                <c:pt idx="5">
                  <c:v>2024</c:v>
                </c:pt>
              </c:numCache>
            </c:numRef>
          </c:cat>
          <c:val>
            <c:numRef>
              <c:f>'Part-2 (Balance Sheet)'!$R$28:$W$28</c:f>
              <c:numCache>
                <c:formatCode>General</c:formatCode>
                <c:ptCount val="6"/>
                <c:pt idx="0">
                  <c:v>2.4591479428071197</c:v>
                </c:pt>
                <c:pt idx="1">
                  <c:v>3.6989733059548251</c:v>
                </c:pt>
                <c:pt idx="2">
                  <c:v>2.5832965090587718</c:v>
                </c:pt>
                <c:pt idx="3">
                  <c:v>2.4591479428071197</c:v>
                </c:pt>
                <c:pt idx="4">
                  <c:v>8.1959130716834263</c:v>
                </c:pt>
                <c:pt idx="5">
                  <c:v>5.9101500159591449</c:v>
                </c:pt>
              </c:numCache>
            </c:numRef>
          </c:val>
          <c:smooth val="0"/>
          <c:extLst>
            <c:ext xmlns:c16="http://schemas.microsoft.com/office/drawing/2014/chart" uri="{C3380CC4-5D6E-409C-BE32-E72D297353CC}">
              <c16:uniqueId val="{00000001-D9EA-4FEB-A6E8-3BFE3A37107B}"/>
            </c:ext>
          </c:extLst>
        </c:ser>
        <c:dLbls>
          <c:showLegendKey val="0"/>
          <c:showVal val="0"/>
          <c:showCatName val="0"/>
          <c:showSerName val="0"/>
          <c:showPercent val="0"/>
          <c:showBubbleSize val="0"/>
        </c:dLbls>
        <c:marker val="1"/>
        <c:smooth val="0"/>
        <c:axId val="1364360047"/>
        <c:axId val="1364359087"/>
      </c:lineChart>
      <c:catAx>
        <c:axId val="136436004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Years (FY 2019-24)</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359087"/>
        <c:crosses val="autoZero"/>
        <c:auto val="1"/>
        <c:lblAlgn val="ctr"/>
        <c:lblOffset val="100"/>
        <c:noMultiLvlLbl val="0"/>
      </c:catAx>
      <c:valAx>
        <c:axId val="13643590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Interest Coverage Ratio</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360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NET PROFIT MARGIN</c:v>
          </c:tx>
          <c:spPr>
            <a:ln w="28575" cap="rnd">
              <a:solidFill>
                <a:schemeClr val="accent1"/>
              </a:solidFill>
              <a:round/>
            </a:ln>
            <a:effectLst/>
          </c:spPr>
          <c:marker>
            <c:symbol val="none"/>
          </c:marker>
          <c:cat>
            <c:numRef>
              <c:f>'Part-2 (Balance Sheet)'!$C$2:$I$2</c:f>
              <c:numCache>
                <c:formatCode>General</c:formatCode>
                <c:ptCount val="7"/>
                <c:pt idx="0">
                  <c:v>2018</c:v>
                </c:pt>
                <c:pt idx="1">
                  <c:v>2019</c:v>
                </c:pt>
                <c:pt idx="2">
                  <c:v>2020</c:v>
                </c:pt>
                <c:pt idx="3">
                  <c:v>2021</c:v>
                </c:pt>
                <c:pt idx="4">
                  <c:v>2022</c:v>
                </c:pt>
                <c:pt idx="5">
                  <c:v>2023</c:v>
                </c:pt>
                <c:pt idx="6">
                  <c:v>2024</c:v>
                </c:pt>
              </c:numCache>
            </c:numRef>
          </c:cat>
          <c:val>
            <c:numRef>
              <c:f>'Part-2 (Balance Sheet)'!$C$90:$J$90</c:f>
              <c:numCache>
                <c:formatCode>General</c:formatCode>
                <c:ptCount val="8"/>
                <c:pt idx="0">
                  <c:v>8.394029850746268E-2</c:v>
                </c:pt>
                <c:pt idx="1">
                  <c:v>9.4537008599508587E-2</c:v>
                </c:pt>
                <c:pt idx="2">
                  <c:v>9.8543797243219211E-2</c:v>
                </c:pt>
                <c:pt idx="3">
                  <c:v>8.394029850746268E-2</c:v>
                </c:pt>
                <c:pt idx="4">
                  <c:v>0.14066890992456735</c:v>
                </c:pt>
                <c:pt idx="5">
                  <c:v>0.1121933062439902</c:v>
                </c:pt>
                <c:pt idx="6">
                  <c:v>8.5436983498525243E-2</c:v>
                </c:pt>
                <c:pt idx="7">
                  <c:v>5.5156575541385193E-2</c:v>
                </c:pt>
              </c:numCache>
            </c:numRef>
          </c:val>
          <c:smooth val="0"/>
          <c:extLst>
            <c:ext xmlns:c16="http://schemas.microsoft.com/office/drawing/2014/chart" uri="{C3380CC4-5D6E-409C-BE32-E72D297353CC}">
              <c16:uniqueId val="{00000000-DD15-4629-9810-4AAABD85A1D0}"/>
            </c:ext>
          </c:extLst>
        </c:ser>
        <c:dLbls>
          <c:showLegendKey val="0"/>
          <c:showVal val="0"/>
          <c:showCatName val="0"/>
          <c:showSerName val="0"/>
          <c:showPercent val="0"/>
          <c:showBubbleSize val="0"/>
        </c:dLbls>
        <c:smooth val="0"/>
        <c:axId val="822417680"/>
        <c:axId val="822434000"/>
      </c:lineChart>
      <c:catAx>
        <c:axId val="822417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434000"/>
        <c:crosses val="autoZero"/>
        <c:auto val="1"/>
        <c:lblAlgn val="ctr"/>
        <c:lblOffset val="100"/>
        <c:noMultiLvlLbl val="0"/>
      </c:catAx>
      <c:valAx>
        <c:axId val="822434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417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61920384951881"/>
          <c:y val="0.19486111111111112"/>
          <c:w val="0.88380796150481189"/>
          <c:h val="0.72125801983085447"/>
        </c:manualLayout>
      </c:layout>
      <c:lineChart>
        <c:grouping val="standard"/>
        <c:varyColors val="0"/>
        <c:ser>
          <c:idx val="0"/>
          <c:order val="0"/>
          <c:tx>
            <c:v>EBIT MARGIN</c:v>
          </c:tx>
          <c:spPr>
            <a:ln w="28575" cap="rnd">
              <a:solidFill>
                <a:schemeClr val="accent1"/>
              </a:solidFill>
              <a:round/>
            </a:ln>
            <a:effectLst/>
          </c:spPr>
          <c:marker>
            <c:symbol val="none"/>
          </c:marker>
          <c:cat>
            <c:strRef>
              <c:f>'Part-2 (Balance Sheet)'!$C$2:$I$3</c:f>
              <c:strCache>
                <c:ptCount val="7"/>
                <c:pt idx="0">
                  <c:v>2018</c:v>
                </c:pt>
                <c:pt idx="1">
                  <c:v>2019</c:v>
                </c:pt>
                <c:pt idx="2">
                  <c:v>2020</c:v>
                </c:pt>
                <c:pt idx="3">
                  <c:v>2021</c:v>
                </c:pt>
                <c:pt idx="4">
                  <c:v>2022</c:v>
                </c:pt>
                <c:pt idx="5">
                  <c:v>2023</c:v>
                </c:pt>
                <c:pt idx="6">
                  <c:v>2024</c:v>
                </c:pt>
              </c:strCache>
            </c:strRef>
          </c:cat>
          <c:val>
            <c:numRef>
              <c:f>'Part-2 (Balance Sheet)'!$C$78:$J$78</c:f>
              <c:numCache>
                <c:formatCode>General</c:formatCode>
                <c:ptCount val="8"/>
                <c:pt idx="0">
                  <c:v>0.26292537313432834</c:v>
                </c:pt>
                <c:pt idx="1">
                  <c:v>0.21613943488943485</c:v>
                </c:pt>
                <c:pt idx="2">
                  <c:v>0.26980509856232399</c:v>
                </c:pt>
                <c:pt idx="3">
                  <c:v>0.26292537313432834</c:v>
                </c:pt>
                <c:pt idx="4">
                  <c:v>0.28915840851944979</c:v>
                </c:pt>
                <c:pt idx="5">
                  <c:v>0.27383603709792487</c:v>
                </c:pt>
                <c:pt idx="6">
                  <c:v>0.27297185980389554</c:v>
                </c:pt>
                <c:pt idx="7">
                  <c:v>0.25868899551739383</c:v>
                </c:pt>
              </c:numCache>
            </c:numRef>
          </c:val>
          <c:smooth val="0"/>
          <c:extLst>
            <c:ext xmlns:c16="http://schemas.microsoft.com/office/drawing/2014/chart" uri="{C3380CC4-5D6E-409C-BE32-E72D297353CC}">
              <c16:uniqueId val="{00000000-3446-4D7B-B841-669070EB30E2}"/>
            </c:ext>
          </c:extLst>
        </c:ser>
        <c:dLbls>
          <c:showLegendKey val="0"/>
          <c:showVal val="0"/>
          <c:showCatName val="0"/>
          <c:showSerName val="0"/>
          <c:showPercent val="0"/>
          <c:showBubbleSize val="0"/>
        </c:dLbls>
        <c:smooth val="0"/>
        <c:axId val="841457456"/>
        <c:axId val="841455536"/>
      </c:lineChart>
      <c:catAx>
        <c:axId val="841457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455536"/>
        <c:crosses val="autoZero"/>
        <c:auto val="1"/>
        <c:lblAlgn val="ctr"/>
        <c:lblOffset val="100"/>
        <c:noMultiLvlLbl val="0"/>
      </c:catAx>
      <c:valAx>
        <c:axId val="841455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457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2881486861549813E-2"/>
          <c:y val="2.5126334076683316E-2"/>
          <c:w val="0.88265138982433822"/>
          <c:h val="0.72456847939121904"/>
        </c:manualLayout>
      </c:layout>
      <c:lineChart>
        <c:grouping val="standard"/>
        <c:varyColors val="0"/>
        <c:ser>
          <c:idx val="0"/>
          <c:order val="0"/>
          <c:tx>
            <c:v>EBITDA MARGIN</c:v>
          </c:tx>
          <c:spPr>
            <a:ln w="28575" cap="rnd">
              <a:solidFill>
                <a:schemeClr val="accent1"/>
              </a:solidFill>
              <a:round/>
            </a:ln>
            <a:effectLst/>
          </c:spPr>
          <c:marker>
            <c:symbol val="none"/>
          </c:marker>
          <c:cat>
            <c:numRef>
              <c:f>'Part-2 (Balance Sheet)'!$C$2:$I$2</c:f>
              <c:numCache>
                <c:formatCode>General</c:formatCode>
                <c:ptCount val="7"/>
                <c:pt idx="0">
                  <c:v>2018</c:v>
                </c:pt>
                <c:pt idx="1">
                  <c:v>2019</c:v>
                </c:pt>
                <c:pt idx="2">
                  <c:v>2020</c:v>
                </c:pt>
                <c:pt idx="3">
                  <c:v>2021</c:v>
                </c:pt>
                <c:pt idx="4">
                  <c:v>2022</c:v>
                </c:pt>
                <c:pt idx="5">
                  <c:v>2023</c:v>
                </c:pt>
                <c:pt idx="6">
                  <c:v>2024</c:v>
                </c:pt>
              </c:numCache>
            </c:numRef>
          </c:cat>
          <c:val>
            <c:numRef>
              <c:f>'Part-2 (Balance Sheet)'!$C$78:$J$78</c:f>
              <c:numCache>
                <c:formatCode>General</c:formatCode>
                <c:ptCount val="8"/>
                <c:pt idx="0">
                  <c:v>0.26292537313432834</c:v>
                </c:pt>
                <c:pt idx="1">
                  <c:v>0.21613943488943485</c:v>
                </c:pt>
                <c:pt idx="2">
                  <c:v>0.26980509856232399</c:v>
                </c:pt>
                <c:pt idx="3">
                  <c:v>0.26292537313432834</c:v>
                </c:pt>
                <c:pt idx="4">
                  <c:v>0.28915840851944979</c:v>
                </c:pt>
                <c:pt idx="5">
                  <c:v>0.27383603709792487</c:v>
                </c:pt>
                <c:pt idx="6">
                  <c:v>0.27297185980389554</c:v>
                </c:pt>
                <c:pt idx="7">
                  <c:v>0.25868899551739383</c:v>
                </c:pt>
              </c:numCache>
            </c:numRef>
          </c:val>
          <c:smooth val="0"/>
          <c:extLst>
            <c:ext xmlns:c16="http://schemas.microsoft.com/office/drawing/2014/chart" uri="{C3380CC4-5D6E-409C-BE32-E72D297353CC}">
              <c16:uniqueId val="{00000000-8DFC-4710-8C42-D1DA39A2FDAE}"/>
            </c:ext>
          </c:extLst>
        </c:ser>
        <c:dLbls>
          <c:showLegendKey val="0"/>
          <c:showVal val="0"/>
          <c:showCatName val="0"/>
          <c:showSerName val="0"/>
          <c:showPercent val="0"/>
          <c:showBubbleSize val="0"/>
        </c:dLbls>
        <c:smooth val="0"/>
        <c:axId val="832341904"/>
        <c:axId val="832343824"/>
      </c:lineChart>
      <c:catAx>
        <c:axId val="832341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343824"/>
        <c:crosses val="autoZero"/>
        <c:auto val="1"/>
        <c:lblAlgn val="ctr"/>
        <c:lblOffset val="100"/>
        <c:noMultiLvlLbl val="0"/>
      </c:catAx>
      <c:valAx>
        <c:axId val="832343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3419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30</xdr:col>
      <xdr:colOff>281940</xdr:colOff>
      <xdr:row>12</xdr:row>
      <xdr:rowOff>54292</xdr:rowOff>
    </xdr:from>
    <xdr:to>
      <xdr:col>36</xdr:col>
      <xdr:colOff>316230</xdr:colOff>
      <xdr:row>27</xdr:row>
      <xdr:rowOff>82867</xdr:rowOff>
    </xdr:to>
    <xdr:graphicFrame macro="">
      <xdr:nvGraphicFramePr>
        <xdr:cNvPr id="4" name="Chart 3">
          <a:extLst>
            <a:ext uri="{FF2B5EF4-FFF2-40B4-BE49-F238E27FC236}">
              <a16:creationId xmlns:a16="http://schemas.microsoft.com/office/drawing/2014/main" id="{0E56886A-E571-040B-6BF3-8F5210E8D7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49</xdr:col>
      <xdr:colOff>96202</xdr:colOff>
      <xdr:row>0</xdr:row>
      <xdr:rowOff>172402</xdr:rowOff>
    </xdr:from>
    <xdr:ext cx="2630335" cy="316882"/>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70D6B7B4-C261-0FFE-AE7C-DEDFF6F39DC7}"/>
                </a:ext>
              </a:extLst>
            </xdr:cNvPr>
            <xdr:cNvSpPr txBox="1"/>
          </xdr:nvSpPr>
          <xdr:spPr>
            <a:xfrm>
              <a:off x="34852927" y="172402"/>
              <a:ext cx="2630335"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kern="1200">
                        <a:latin typeface="Cambria Math" panose="02040503050406030204" pitchFamily="18" charset="0"/>
                      </a:rPr>
                      <m:t>𝑊𝐴𝐶𝐶</m:t>
                    </m:r>
                    <m:r>
                      <a:rPr lang="en-US" sz="1100" b="0" i="1" kern="1200">
                        <a:latin typeface="Cambria Math" panose="02040503050406030204" pitchFamily="18" charset="0"/>
                      </a:rPr>
                      <m:t>=</m:t>
                    </m:r>
                    <m:f>
                      <m:fPr>
                        <m:ctrlPr>
                          <a:rPr lang="en-US" sz="1100" b="0" i="1" kern="1200">
                            <a:latin typeface="Cambria Math" panose="02040503050406030204" pitchFamily="18" charset="0"/>
                          </a:rPr>
                        </m:ctrlPr>
                      </m:fPr>
                      <m:num>
                        <m:r>
                          <a:rPr lang="en-US" sz="1100" b="0" i="1" kern="1200">
                            <a:latin typeface="Cambria Math" panose="02040503050406030204" pitchFamily="18" charset="0"/>
                          </a:rPr>
                          <m:t>𝐸</m:t>
                        </m:r>
                      </m:num>
                      <m:den>
                        <m:r>
                          <a:rPr lang="en-US" sz="1100" b="0" i="1" kern="1200">
                            <a:latin typeface="Cambria Math" panose="02040503050406030204" pitchFamily="18" charset="0"/>
                          </a:rPr>
                          <m:t>𝑉</m:t>
                        </m:r>
                      </m:den>
                    </m:f>
                    <m:r>
                      <a:rPr lang="en-US" sz="1100" b="0" i="1" kern="1200">
                        <a:latin typeface="Cambria Math" panose="02040503050406030204" pitchFamily="18" charset="0"/>
                        <a:ea typeface="Cambria Math" panose="02040503050406030204" pitchFamily="18" charset="0"/>
                      </a:rPr>
                      <m:t>×</m:t>
                    </m:r>
                    <m:sSub>
                      <m:sSubPr>
                        <m:ctrlPr>
                          <a:rPr lang="en-US" sz="1100" b="0" i="1" kern="1200">
                            <a:latin typeface="Cambria Math" panose="02040503050406030204" pitchFamily="18" charset="0"/>
                            <a:ea typeface="Cambria Math" panose="02040503050406030204" pitchFamily="18" charset="0"/>
                          </a:rPr>
                        </m:ctrlPr>
                      </m:sSubPr>
                      <m:e>
                        <m:r>
                          <a:rPr lang="en-US" sz="1100" b="0" i="1" kern="1200">
                            <a:latin typeface="Cambria Math" panose="02040503050406030204" pitchFamily="18" charset="0"/>
                            <a:ea typeface="Cambria Math" panose="02040503050406030204" pitchFamily="18" charset="0"/>
                          </a:rPr>
                          <m:t>𝑟</m:t>
                        </m:r>
                      </m:e>
                      <m:sub>
                        <m:r>
                          <a:rPr lang="en-US" sz="1100" b="0" i="1" kern="1200">
                            <a:latin typeface="Cambria Math" panose="02040503050406030204" pitchFamily="18" charset="0"/>
                            <a:ea typeface="Cambria Math" panose="02040503050406030204" pitchFamily="18" charset="0"/>
                          </a:rPr>
                          <m:t>𝑒</m:t>
                        </m:r>
                      </m:sub>
                    </m:sSub>
                    <m:r>
                      <a:rPr lang="en-US" sz="1100" b="0" i="1" kern="1200">
                        <a:latin typeface="Cambria Math" panose="02040503050406030204" pitchFamily="18" charset="0"/>
                        <a:ea typeface="Cambria Math" panose="02040503050406030204" pitchFamily="18" charset="0"/>
                      </a:rPr>
                      <m:t>+</m:t>
                    </m:r>
                    <m:f>
                      <m:fPr>
                        <m:ctrlPr>
                          <a:rPr lang="en-US" sz="1100" b="0" i="1" kern="1200">
                            <a:latin typeface="Cambria Math" panose="02040503050406030204" pitchFamily="18" charset="0"/>
                            <a:ea typeface="Cambria Math" panose="02040503050406030204" pitchFamily="18" charset="0"/>
                          </a:rPr>
                        </m:ctrlPr>
                      </m:fPr>
                      <m:num>
                        <m:r>
                          <a:rPr lang="en-US" sz="1100" b="0" i="1" kern="1200">
                            <a:latin typeface="Cambria Math" panose="02040503050406030204" pitchFamily="18" charset="0"/>
                            <a:ea typeface="Cambria Math" panose="02040503050406030204" pitchFamily="18" charset="0"/>
                          </a:rPr>
                          <m:t>𝐷</m:t>
                        </m:r>
                      </m:num>
                      <m:den>
                        <m:r>
                          <a:rPr lang="en-US" sz="1100" b="0" i="1" kern="1200">
                            <a:latin typeface="Cambria Math" panose="02040503050406030204" pitchFamily="18" charset="0"/>
                            <a:ea typeface="Cambria Math" panose="02040503050406030204" pitchFamily="18" charset="0"/>
                          </a:rPr>
                          <m:t>𝑉</m:t>
                        </m:r>
                      </m:den>
                    </m:f>
                    <m:r>
                      <a:rPr lang="en-US" sz="1100" b="0" i="1" kern="1200">
                        <a:latin typeface="Cambria Math" panose="02040503050406030204" pitchFamily="18" charset="0"/>
                        <a:ea typeface="Cambria Math" panose="02040503050406030204" pitchFamily="18" charset="0"/>
                      </a:rPr>
                      <m:t>×</m:t>
                    </m:r>
                    <m:sSub>
                      <m:sSubPr>
                        <m:ctrlPr>
                          <a:rPr lang="en-US" sz="1100" b="0" i="1" kern="1200">
                            <a:latin typeface="Cambria Math" panose="02040503050406030204" pitchFamily="18" charset="0"/>
                            <a:ea typeface="Cambria Math" panose="02040503050406030204" pitchFamily="18" charset="0"/>
                          </a:rPr>
                        </m:ctrlPr>
                      </m:sSubPr>
                      <m:e>
                        <m:r>
                          <a:rPr lang="en-US" sz="1100" b="0" i="1" kern="1200">
                            <a:latin typeface="Cambria Math" panose="02040503050406030204" pitchFamily="18" charset="0"/>
                            <a:ea typeface="Cambria Math" panose="02040503050406030204" pitchFamily="18" charset="0"/>
                          </a:rPr>
                          <m:t>𝑟</m:t>
                        </m:r>
                      </m:e>
                      <m:sub>
                        <m:r>
                          <a:rPr lang="en-US" sz="1100" b="0" i="1" kern="1200">
                            <a:latin typeface="Cambria Math" panose="02040503050406030204" pitchFamily="18" charset="0"/>
                            <a:ea typeface="Cambria Math" panose="02040503050406030204" pitchFamily="18" charset="0"/>
                          </a:rPr>
                          <m:t>𝑑</m:t>
                        </m:r>
                      </m:sub>
                    </m:sSub>
                    <m:r>
                      <a:rPr lang="en-US" sz="1100" b="0" i="1" kern="1200">
                        <a:latin typeface="Cambria Math" panose="02040503050406030204" pitchFamily="18" charset="0"/>
                        <a:ea typeface="Cambria Math" panose="02040503050406030204" pitchFamily="18" charset="0"/>
                      </a:rPr>
                      <m:t>×(1−</m:t>
                    </m:r>
                    <m:r>
                      <a:rPr lang="en-US" sz="1100" b="0" i="1" kern="1200">
                        <a:latin typeface="Cambria Math" panose="02040503050406030204" pitchFamily="18" charset="0"/>
                        <a:ea typeface="Cambria Math" panose="02040503050406030204" pitchFamily="18" charset="0"/>
                      </a:rPr>
                      <m:t>𝑇𝑎𝑥</m:t>
                    </m:r>
                    <m:r>
                      <a:rPr lang="en-US" sz="1100" b="0" i="1" kern="1200">
                        <a:latin typeface="Cambria Math" panose="02040503050406030204" pitchFamily="18" charset="0"/>
                        <a:ea typeface="Cambria Math" panose="02040503050406030204" pitchFamily="18" charset="0"/>
                      </a:rPr>
                      <m:t> </m:t>
                    </m:r>
                    <m:r>
                      <a:rPr lang="en-US" sz="1100" b="0" i="1" kern="1200">
                        <a:latin typeface="Cambria Math" panose="02040503050406030204" pitchFamily="18" charset="0"/>
                        <a:ea typeface="Cambria Math" panose="02040503050406030204" pitchFamily="18" charset="0"/>
                      </a:rPr>
                      <m:t>𝑅𝑎𝑡𝑒</m:t>
                    </m:r>
                    <m:r>
                      <a:rPr lang="en-US" sz="1100" b="0" i="1" kern="1200">
                        <a:latin typeface="Cambria Math" panose="02040503050406030204" pitchFamily="18" charset="0"/>
                        <a:ea typeface="Cambria Math" panose="02040503050406030204" pitchFamily="18" charset="0"/>
                      </a:rPr>
                      <m:t>)</m:t>
                    </m:r>
                  </m:oMath>
                </m:oMathPara>
              </a14:m>
              <a:endParaRPr lang="en-IN" sz="1100" kern="1200"/>
            </a:p>
          </xdr:txBody>
        </xdr:sp>
      </mc:Choice>
      <mc:Fallback xmlns="">
        <xdr:sp macro="" textlink="">
          <xdr:nvSpPr>
            <xdr:cNvPr id="5" name="TextBox 4">
              <a:extLst>
                <a:ext uri="{FF2B5EF4-FFF2-40B4-BE49-F238E27FC236}">
                  <a16:creationId xmlns:a16="http://schemas.microsoft.com/office/drawing/2014/main" id="{70D6B7B4-C261-0FFE-AE7C-DEDFF6F39DC7}"/>
                </a:ext>
              </a:extLst>
            </xdr:cNvPr>
            <xdr:cNvSpPr txBox="1"/>
          </xdr:nvSpPr>
          <xdr:spPr>
            <a:xfrm>
              <a:off x="34852927" y="172402"/>
              <a:ext cx="2630335"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kern="1200">
                  <a:latin typeface="Cambria Math" panose="02040503050406030204" pitchFamily="18" charset="0"/>
                </a:rPr>
                <a:t>𝑊𝐴𝐶𝐶=𝐸/𝑉</a:t>
              </a:r>
              <a:r>
                <a:rPr lang="en-US" sz="1100" b="0" i="0" kern="1200">
                  <a:latin typeface="Cambria Math" panose="02040503050406030204" pitchFamily="18" charset="0"/>
                  <a:ea typeface="Cambria Math" panose="02040503050406030204" pitchFamily="18" charset="0"/>
                </a:rPr>
                <a:t>×𝑟_𝑒+𝐷/𝑉×𝑟_𝑑×(1−𝑇𝑎𝑥 𝑅𝑎𝑡𝑒)</a:t>
              </a:r>
              <a:endParaRPr lang="en-IN" sz="1100" kern="1200"/>
            </a:p>
          </xdr:txBody>
        </xdr:sp>
      </mc:Fallback>
    </mc:AlternateContent>
    <xdr:clientData/>
  </xdr:oneCellAnchor>
  <xdr:oneCellAnchor>
    <xdr:from>
      <xdr:col>56</xdr:col>
      <xdr:colOff>170497</xdr:colOff>
      <xdr:row>2</xdr:row>
      <xdr:rowOff>16192</xdr:rowOff>
    </xdr:from>
    <xdr:ext cx="3724161" cy="194925"/>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A0A06E0-5187-B99B-9139-2E41723B0916}"/>
                </a:ext>
              </a:extLst>
            </xdr:cNvPr>
            <xdr:cNvSpPr txBox="1"/>
          </xdr:nvSpPr>
          <xdr:spPr>
            <a:xfrm>
              <a:off x="41651872" y="378142"/>
              <a:ext cx="3724161" cy="1949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IN" sz="1100" i="1" kern="1200">
                        <a:latin typeface="Cambria Math" panose="02040503050406030204" pitchFamily="18" charset="0"/>
                      </a:rPr>
                      <m:t>	</m:t>
                    </m:r>
                    <m:r>
                      <a:rPr lang="en-US" sz="1100" b="0" i="1" kern="1200">
                        <a:latin typeface="Cambria Math" panose="02040503050406030204" pitchFamily="18" charset="0"/>
                      </a:rPr>
                      <m:t>𝑟</m:t>
                    </m:r>
                    <m:r>
                      <a:rPr lang="en-US" sz="1100" b="0" i="1" kern="1200">
                        <a:latin typeface="Cambria Math" panose="02040503050406030204" pitchFamily="18" charset="0"/>
                      </a:rPr>
                      <m:t>=</m:t>
                    </m:r>
                    <m:sSub>
                      <m:sSubPr>
                        <m:ctrlPr>
                          <a:rPr lang="en-US" sz="1100" b="0" i="1" kern="1200">
                            <a:latin typeface="Cambria Math" panose="02040503050406030204" pitchFamily="18" charset="0"/>
                          </a:rPr>
                        </m:ctrlPr>
                      </m:sSubPr>
                      <m:e>
                        <m:r>
                          <a:rPr lang="en-US" sz="1100" b="0" i="1" kern="1200">
                            <a:latin typeface="Cambria Math" panose="02040503050406030204" pitchFamily="18" charset="0"/>
                          </a:rPr>
                          <m:t>𝑟</m:t>
                        </m:r>
                      </m:e>
                      <m:sub>
                        <m:r>
                          <a:rPr lang="en-US" sz="1100" b="0" i="1" kern="1200">
                            <a:latin typeface="Cambria Math" panose="02040503050406030204" pitchFamily="18" charset="0"/>
                          </a:rPr>
                          <m:t>𝑓</m:t>
                        </m:r>
                      </m:sub>
                    </m:sSub>
                    <m:r>
                      <a:rPr lang="en-US" sz="1100" b="0" i="1" kern="1200">
                        <a:latin typeface="Cambria Math" panose="02040503050406030204" pitchFamily="18" charset="0"/>
                      </a:rPr>
                      <m:t>+</m:t>
                    </m:r>
                    <m:sSub>
                      <m:sSubPr>
                        <m:ctrlPr>
                          <a:rPr lang="en-US" sz="1100" b="0" i="1" kern="1200">
                            <a:latin typeface="Cambria Math" panose="02040503050406030204" pitchFamily="18" charset="0"/>
                          </a:rPr>
                        </m:ctrlPr>
                      </m:sSubPr>
                      <m:e>
                        <m:r>
                          <a:rPr lang="en-US" sz="1100" b="0" i="1" kern="1200">
                            <a:latin typeface="Cambria Math" panose="02040503050406030204" pitchFamily="18" charset="0"/>
                            <a:ea typeface="Cambria Math" panose="02040503050406030204" pitchFamily="18" charset="0"/>
                          </a:rPr>
                          <m:t>𝛽</m:t>
                        </m:r>
                      </m:e>
                      <m:sub>
                        <m:r>
                          <a:rPr lang="en-US" sz="1100" b="0" i="1" kern="1200">
                            <a:latin typeface="Cambria Math" panose="02040503050406030204" pitchFamily="18" charset="0"/>
                          </a:rPr>
                          <m:t>1</m:t>
                        </m:r>
                      </m:sub>
                    </m:sSub>
                    <m:d>
                      <m:dPr>
                        <m:ctrlPr>
                          <a:rPr lang="en-US" sz="1100" b="0" i="1" kern="1200">
                            <a:latin typeface="Cambria Math" panose="02040503050406030204" pitchFamily="18" charset="0"/>
                          </a:rPr>
                        </m:ctrlPr>
                      </m:dPr>
                      <m:e>
                        <m:sSub>
                          <m:sSubPr>
                            <m:ctrlPr>
                              <a:rPr lang="en-US" sz="1100" b="0" i="1" kern="1200">
                                <a:latin typeface="Cambria Math" panose="02040503050406030204" pitchFamily="18" charset="0"/>
                              </a:rPr>
                            </m:ctrlPr>
                          </m:sSubPr>
                          <m:e>
                            <m:r>
                              <a:rPr lang="en-US" sz="1100" b="0" i="1" kern="1200">
                                <a:latin typeface="Cambria Math" panose="02040503050406030204" pitchFamily="18" charset="0"/>
                              </a:rPr>
                              <m:t>𝑟</m:t>
                            </m:r>
                          </m:e>
                          <m:sub>
                            <m:r>
                              <a:rPr lang="en-US" sz="1100" b="0" i="1" kern="1200">
                                <a:latin typeface="Cambria Math" panose="02040503050406030204" pitchFamily="18" charset="0"/>
                              </a:rPr>
                              <m:t>𝑚</m:t>
                            </m:r>
                          </m:sub>
                        </m:sSub>
                        <m:r>
                          <a:rPr lang="en-US" sz="1100" b="0" i="1" kern="1200">
                            <a:latin typeface="Cambria Math" panose="02040503050406030204" pitchFamily="18" charset="0"/>
                          </a:rPr>
                          <m:t>−</m:t>
                        </m:r>
                        <m:sSub>
                          <m:sSubPr>
                            <m:ctrlPr>
                              <a:rPr lang="en-US" sz="1100" b="0" i="1" kern="1200">
                                <a:latin typeface="Cambria Math" panose="02040503050406030204" pitchFamily="18" charset="0"/>
                              </a:rPr>
                            </m:ctrlPr>
                          </m:sSubPr>
                          <m:e>
                            <m:r>
                              <a:rPr lang="en-US" sz="1100" b="0" i="1" kern="1200">
                                <a:latin typeface="Cambria Math" panose="02040503050406030204" pitchFamily="18" charset="0"/>
                              </a:rPr>
                              <m:t>𝑟</m:t>
                            </m:r>
                          </m:e>
                          <m:sub>
                            <m:r>
                              <a:rPr lang="en-US" sz="1100" b="0" i="1" kern="1200">
                                <a:latin typeface="Cambria Math" panose="02040503050406030204" pitchFamily="18" charset="0"/>
                              </a:rPr>
                              <m:t>𝑓</m:t>
                            </m:r>
                          </m:sub>
                        </m:sSub>
                      </m:e>
                    </m:d>
                    <m:r>
                      <a:rPr lang="en-US" sz="1100" b="0" i="1" kern="1200">
                        <a:latin typeface="Cambria Math" panose="02040503050406030204" pitchFamily="18" charset="0"/>
                      </a:rPr>
                      <m:t>+</m:t>
                    </m:r>
                    <m:sSub>
                      <m:sSubPr>
                        <m:ctrlPr>
                          <a:rPr lang="en-US" sz="1100" b="0" i="1" kern="1200">
                            <a:latin typeface="Cambria Math" panose="02040503050406030204" pitchFamily="18" charset="0"/>
                          </a:rPr>
                        </m:ctrlPr>
                      </m:sSubPr>
                      <m:e>
                        <m:r>
                          <a:rPr lang="en-US" sz="1100" b="0" i="1" kern="1200">
                            <a:latin typeface="Cambria Math" panose="02040503050406030204" pitchFamily="18" charset="0"/>
                            <a:ea typeface="Cambria Math" panose="02040503050406030204" pitchFamily="18" charset="0"/>
                          </a:rPr>
                          <m:t>𝛽</m:t>
                        </m:r>
                      </m:e>
                      <m:sub>
                        <m:r>
                          <a:rPr lang="en-US" sz="1100" b="0" i="1" kern="1200">
                            <a:latin typeface="Cambria Math" panose="02040503050406030204" pitchFamily="18" charset="0"/>
                          </a:rPr>
                          <m:t>2</m:t>
                        </m:r>
                      </m:sub>
                    </m:sSub>
                    <m:d>
                      <m:dPr>
                        <m:ctrlPr>
                          <a:rPr lang="en-US" sz="1100" b="0" i="1" kern="1200">
                            <a:latin typeface="Cambria Math" panose="02040503050406030204" pitchFamily="18" charset="0"/>
                          </a:rPr>
                        </m:ctrlPr>
                      </m:dPr>
                      <m:e>
                        <m:r>
                          <a:rPr lang="en-US" sz="1100" b="0" i="1" kern="1200">
                            <a:latin typeface="Cambria Math" panose="02040503050406030204" pitchFamily="18" charset="0"/>
                          </a:rPr>
                          <m:t>𝑆𝑀𝐵</m:t>
                        </m:r>
                      </m:e>
                    </m:d>
                    <m:r>
                      <a:rPr lang="en-US" sz="1100" b="0" i="1" kern="1200">
                        <a:latin typeface="Cambria Math" panose="02040503050406030204" pitchFamily="18" charset="0"/>
                      </a:rPr>
                      <m:t>+</m:t>
                    </m:r>
                    <m:sSub>
                      <m:sSubPr>
                        <m:ctrlPr>
                          <a:rPr lang="en-US" sz="1100" b="0" i="1" kern="1200">
                            <a:latin typeface="Cambria Math" panose="02040503050406030204" pitchFamily="18" charset="0"/>
                          </a:rPr>
                        </m:ctrlPr>
                      </m:sSubPr>
                      <m:e>
                        <m:r>
                          <a:rPr lang="en-US" sz="1100" b="0" i="1" kern="1200">
                            <a:latin typeface="Cambria Math" panose="02040503050406030204" pitchFamily="18" charset="0"/>
                            <a:ea typeface="Cambria Math" panose="02040503050406030204" pitchFamily="18" charset="0"/>
                          </a:rPr>
                          <m:t>𝛽</m:t>
                        </m:r>
                      </m:e>
                      <m:sub>
                        <m:r>
                          <a:rPr lang="en-US" sz="1100" b="0" i="1" kern="1200">
                            <a:latin typeface="Cambria Math" panose="02040503050406030204" pitchFamily="18" charset="0"/>
                          </a:rPr>
                          <m:t>3</m:t>
                        </m:r>
                      </m:sub>
                    </m:sSub>
                    <m:d>
                      <m:dPr>
                        <m:ctrlPr>
                          <a:rPr lang="en-US" sz="1100" b="0" i="1" kern="1200">
                            <a:latin typeface="Cambria Math" panose="02040503050406030204" pitchFamily="18" charset="0"/>
                          </a:rPr>
                        </m:ctrlPr>
                      </m:dPr>
                      <m:e>
                        <m:r>
                          <a:rPr lang="en-US" sz="1100" b="0" i="1" kern="1200">
                            <a:latin typeface="Cambria Math" panose="02040503050406030204" pitchFamily="18" charset="0"/>
                          </a:rPr>
                          <m:t>𝐻𝑀𝐿</m:t>
                        </m:r>
                      </m:e>
                    </m:d>
                    <m:r>
                      <a:rPr lang="en-US" sz="1100" b="0" i="1" kern="1200">
                        <a:latin typeface="Cambria Math" panose="02040503050406030204" pitchFamily="18" charset="0"/>
                      </a:rPr>
                      <m:t>+</m:t>
                    </m:r>
                    <m:sSub>
                      <m:sSubPr>
                        <m:ctrlPr>
                          <a:rPr lang="en-US" sz="1100" b="0" i="1" kern="1200">
                            <a:latin typeface="Cambria Math" panose="02040503050406030204" pitchFamily="18" charset="0"/>
                          </a:rPr>
                        </m:ctrlPr>
                      </m:sSubPr>
                      <m:e>
                        <m:r>
                          <a:rPr lang="en-US" sz="1100" b="0" i="1" kern="1200">
                            <a:latin typeface="Cambria Math" panose="02040503050406030204" pitchFamily="18" charset="0"/>
                            <a:ea typeface="Cambria Math" panose="02040503050406030204" pitchFamily="18" charset="0"/>
                          </a:rPr>
                          <m:t>𝛽</m:t>
                        </m:r>
                      </m:e>
                      <m:sub>
                        <m:r>
                          <a:rPr lang="en-US" sz="1100" b="0" i="1" kern="1200">
                            <a:latin typeface="Cambria Math" panose="02040503050406030204" pitchFamily="18" charset="0"/>
                          </a:rPr>
                          <m:t>4</m:t>
                        </m:r>
                      </m:sub>
                    </m:sSub>
                    <m:d>
                      <m:dPr>
                        <m:ctrlPr>
                          <a:rPr lang="en-US" sz="1100" b="0" i="1" kern="1200">
                            <a:latin typeface="Cambria Math" panose="02040503050406030204" pitchFamily="18" charset="0"/>
                          </a:rPr>
                        </m:ctrlPr>
                      </m:dPr>
                      <m:e>
                        <m:r>
                          <a:rPr lang="en-US" sz="1100" b="0" i="1" kern="1200">
                            <a:latin typeface="Cambria Math" panose="02040503050406030204" pitchFamily="18" charset="0"/>
                          </a:rPr>
                          <m:t>𝑊𝑀𝐿</m:t>
                        </m:r>
                      </m:e>
                    </m:d>
                    <m:r>
                      <a:rPr lang="en-US" sz="1100" b="0" i="1" kern="1200">
                        <a:latin typeface="Cambria Math" panose="02040503050406030204" pitchFamily="18" charset="0"/>
                      </a:rPr>
                      <m:t>+</m:t>
                    </m:r>
                    <m:r>
                      <a:rPr lang="en-US" sz="1100" b="0" i="1" kern="1200">
                        <a:latin typeface="Cambria Math" panose="02040503050406030204" pitchFamily="18" charset="0"/>
                        <a:ea typeface="Cambria Math" panose="02040503050406030204" pitchFamily="18" charset="0"/>
                      </a:rPr>
                      <m:t>𝜀</m:t>
                    </m:r>
                  </m:oMath>
                </m:oMathPara>
              </a14:m>
              <a:endParaRPr lang="en-IN" sz="1100" kern="1200"/>
            </a:p>
          </xdr:txBody>
        </xdr:sp>
      </mc:Choice>
      <mc:Fallback xmlns="">
        <xdr:sp macro="" textlink="">
          <xdr:nvSpPr>
            <xdr:cNvPr id="6" name="TextBox 5">
              <a:extLst>
                <a:ext uri="{FF2B5EF4-FFF2-40B4-BE49-F238E27FC236}">
                  <a16:creationId xmlns:a16="http://schemas.microsoft.com/office/drawing/2014/main" id="{7A0A06E0-5187-B99B-9139-2E41723B0916}"/>
                </a:ext>
              </a:extLst>
            </xdr:cNvPr>
            <xdr:cNvSpPr txBox="1"/>
          </xdr:nvSpPr>
          <xdr:spPr>
            <a:xfrm>
              <a:off x="41651872" y="378142"/>
              <a:ext cx="3724161" cy="1949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IN" sz="1100" i="0" kern="1200">
                  <a:latin typeface="Cambria Math" panose="02040503050406030204" pitchFamily="18" charset="0"/>
                </a:rPr>
                <a:t>	</a:t>
              </a:r>
              <a:r>
                <a:rPr lang="en-US" sz="1100" b="0" i="0" kern="1200">
                  <a:latin typeface="Cambria Math" panose="02040503050406030204" pitchFamily="18" charset="0"/>
                </a:rPr>
                <a:t>𝑟=𝑟_𝑓+</a:t>
              </a:r>
              <a:r>
                <a:rPr lang="en-US" sz="1100" b="0" i="0" kern="1200">
                  <a:latin typeface="Cambria Math" panose="02040503050406030204" pitchFamily="18" charset="0"/>
                  <a:ea typeface="Cambria Math" panose="02040503050406030204" pitchFamily="18" charset="0"/>
                </a:rPr>
                <a:t>𝛽_</a:t>
              </a:r>
              <a:r>
                <a:rPr lang="en-US" sz="1100" b="0" i="0" kern="1200">
                  <a:latin typeface="Cambria Math" panose="02040503050406030204" pitchFamily="18" charset="0"/>
                </a:rPr>
                <a:t>1 (𝑟_𝑚−𝑟_𝑓 )+</a:t>
              </a:r>
              <a:r>
                <a:rPr lang="en-US" sz="1100" b="0" i="0" kern="1200">
                  <a:latin typeface="Cambria Math" panose="02040503050406030204" pitchFamily="18" charset="0"/>
                  <a:ea typeface="Cambria Math" panose="02040503050406030204" pitchFamily="18" charset="0"/>
                </a:rPr>
                <a:t>𝛽_</a:t>
              </a:r>
              <a:r>
                <a:rPr lang="en-US" sz="1100" b="0" i="0" kern="1200">
                  <a:latin typeface="Cambria Math" panose="02040503050406030204" pitchFamily="18" charset="0"/>
                </a:rPr>
                <a:t>2 (𝑆𝑀𝐵)+</a:t>
              </a:r>
              <a:r>
                <a:rPr lang="en-US" sz="1100" b="0" i="0" kern="1200">
                  <a:latin typeface="Cambria Math" panose="02040503050406030204" pitchFamily="18" charset="0"/>
                  <a:ea typeface="Cambria Math" panose="02040503050406030204" pitchFamily="18" charset="0"/>
                </a:rPr>
                <a:t>𝛽_</a:t>
              </a:r>
              <a:r>
                <a:rPr lang="en-US" sz="1100" b="0" i="0" kern="1200">
                  <a:latin typeface="Cambria Math" panose="02040503050406030204" pitchFamily="18" charset="0"/>
                </a:rPr>
                <a:t>3 (𝐻𝑀𝐿)+</a:t>
              </a:r>
              <a:r>
                <a:rPr lang="en-US" sz="1100" b="0" i="0" kern="1200">
                  <a:latin typeface="Cambria Math" panose="02040503050406030204" pitchFamily="18" charset="0"/>
                  <a:ea typeface="Cambria Math" panose="02040503050406030204" pitchFamily="18" charset="0"/>
                </a:rPr>
                <a:t>𝛽_</a:t>
              </a:r>
              <a:r>
                <a:rPr lang="en-US" sz="1100" b="0" i="0" kern="1200">
                  <a:latin typeface="Cambria Math" panose="02040503050406030204" pitchFamily="18" charset="0"/>
                </a:rPr>
                <a:t>4 (𝑊𝑀𝐿)+</a:t>
              </a:r>
              <a:r>
                <a:rPr lang="en-US" sz="1100" b="0" i="0" kern="1200">
                  <a:latin typeface="Cambria Math" panose="02040503050406030204" pitchFamily="18" charset="0"/>
                  <a:ea typeface="Cambria Math" panose="02040503050406030204" pitchFamily="18" charset="0"/>
                </a:rPr>
                <a:t>𝜀</a:t>
              </a:r>
              <a:endParaRPr lang="en-IN" sz="1100" kern="1200"/>
            </a:p>
          </xdr:txBody>
        </xdr:sp>
      </mc:Fallback>
    </mc:AlternateContent>
    <xdr:clientData/>
  </xdr:oneCellAnchor>
  <xdr:oneCellAnchor>
    <xdr:from>
      <xdr:col>56</xdr:col>
      <xdr:colOff>266700</xdr:colOff>
      <xdr:row>16</xdr:row>
      <xdr:rowOff>97155</xdr:rowOff>
    </xdr:from>
    <xdr:ext cx="3624518" cy="1235979"/>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84334EEF-6BD7-4393-BD3A-22D0B05BBD36}"/>
                </a:ext>
              </a:extLst>
            </xdr:cNvPr>
            <xdr:cNvSpPr txBox="1"/>
          </xdr:nvSpPr>
          <xdr:spPr>
            <a:xfrm>
              <a:off x="41748075" y="3049905"/>
              <a:ext cx="3624518" cy="12359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IN" sz="1100" i="1" kern="1200">
                        <a:latin typeface="Cambria Math" panose="02040503050406030204" pitchFamily="18" charset="0"/>
                      </a:rPr>
                      <m:t>	</m:t>
                    </m:r>
                    <m:r>
                      <a:rPr lang="en-US" sz="1100" b="0" i="1" kern="1200">
                        <a:latin typeface="Cambria Math" panose="02040503050406030204" pitchFamily="18" charset="0"/>
                      </a:rPr>
                      <m:t>𝑟</m:t>
                    </m:r>
                    <m:sSub>
                      <m:sSubPr>
                        <m:ctrlPr>
                          <a:rPr lang="en-US" sz="1100" b="0" i="1" kern="1200">
                            <a:latin typeface="Cambria Math" panose="02040503050406030204" pitchFamily="18" charset="0"/>
                          </a:rPr>
                        </m:ctrlPr>
                      </m:sSubPr>
                      <m:e>
                        <m:r>
                          <a:rPr lang="en-US" sz="1100" b="0" i="1" kern="1200">
                            <a:latin typeface="Cambria Math" panose="02040503050406030204" pitchFamily="18" charset="0"/>
                          </a:rPr>
                          <m:t>−</m:t>
                        </m:r>
                        <m:r>
                          <a:rPr lang="en-US" sz="1100" b="0" i="1" kern="1200">
                            <a:latin typeface="Cambria Math" panose="02040503050406030204" pitchFamily="18" charset="0"/>
                          </a:rPr>
                          <m:t>𝑟</m:t>
                        </m:r>
                      </m:e>
                      <m:sub>
                        <m:r>
                          <a:rPr lang="en-US" sz="1100" b="0" i="1" kern="1200">
                            <a:latin typeface="Cambria Math" panose="02040503050406030204" pitchFamily="18" charset="0"/>
                          </a:rPr>
                          <m:t>𝑓</m:t>
                        </m:r>
                      </m:sub>
                    </m:sSub>
                    <m:r>
                      <a:rPr lang="en-US" sz="1100" b="0" i="1" kern="1200">
                        <a:latin typeface="Cambria Math" panose="02040503050406030204" pitchFamily="18" charset="0"/>
                      </a:rPr>
                      <m:t>=</m:t>
                    </m:r>
                    <m:sSub>
                      <m:sSubPr>
                        <m:ctrlPr>
                          <a:rPr lang="en-US" sz="1100" b="0" i="1" kern="1200">
                            <a:latin typeface="Cambria Math" panose="02040503050406030204" pitchFamily="18" charset="0"/>
                          </a:rPr>
                        </m:ctrlPr>
                      </m:sSubPr>
                      <m:e>
                        <m:r>
                          <a:rPr lang="en-US" sz="1100" b="0" i="1" kern="1200">
                            <a:latin typeface="Cambria Math" panose="02040503050406030204" pitchFamily="18" charset="0"/>
                            <a:ea typeface="Cambria Math" panose="02040503050406030204" pitchFamily="18" charset="0"/>
                          </a:rPr>
                          <m:t>𝛽</m:t>
                        </m:r>
                      </m:e>
                      <m:sub>
                        <m:r>
                          <a:rPr lang="en-US" sz="1100" b="0" i="1" kern="1200">
                            <a:latin typeface="Cambria Math" panose="02040503050406030204" pitchFamily="18" charset="0"/>
                          </a:rPr>
                          <m:t>1</m:t>
                        </m:r>
                      </m:sub>
                    </m:sSub>
                    <m:d>
                      <m:dPr>
                        <m:ctrlPr>
                          <a:rPr lang="en-US" sz="1100" b="0" i="1" kern="1200">
                            <a:latin typeface="Cambria Math" panose="02040503050406030204" pitchFamily="18" charset="0"/>
                          </a:rPr>
                        </m:ctrlPr>
                      </m:dPr>
                      <m:e>
                        <m:sSub>
                          <m:sSubPr>
                            <m:ctrlPr>
                              <a:rPr lang="en-US" sz="1100" b="0" i="1" kern="1200">
                                <a:latin typeface="Cambria Math" panose="02040503050406030204" pitchFamily="18" charset="0"/>
                              </a:rPr>
                            </m:ctrlPr>
                          </m:sSubPr>
                          <m:e>
                            <m:r>
                              <a:rPr lang="en-US" sz="1100" b="0" i="1" kern="1200">
                                <a:latin typeface="Cambria Math" panose="02040503050406030204" pitchFamily="18" charset="0"/>
                              </a:rPr>
                              <m:t>𝑟</m:t>
                            </m:r>
                          </m:e>
                          <m:sub>
                            <m:r>
                              <a:rPr lang="en-US" sz="1100" b="0" i="1" kern="1200">
                                <a:latin typeface="Cambria Math" panose="02040503050406030204" pitchFamily="18" charset="0"/>
                              </a:rPr>
                              <m:t>𝑚</m:t>
                            </m:r>
                          </m:sub>
                        </m:sSub>
                        <m:r>
                          <a:rPr lang="en-US" sz="1100" b="0" i="1" kern="1200">
                            <a:latin typeface="Cambria Math" panose="02040503050406030204" pitchFamily="18" charset="0"/>
                          </a:rPr>
                          <m:t>−</m:t>
                        </m:r>
                        <m:sSub>
                          <m:sSubPr>
                            <m:ctrlPr>
                              <a:rPr lang="en-US" sz="1100" b="0" i="1" kern="1200">
                                <a:latin typeface="Cambria Math" panose="02040503050406030204" pitchFamily="18" charset="0"/>
                              </a:rPr>
                            </m:ctrlPr>
                          </m:sSubPr>
                          <m:e>
                            <m:r>
                              <a:rPr lang="en-US" sz="1100" b="0" i="1" kern="1200">
                                <a:latin typeface="Cambria Math" panose="02040503050406030204" pitchFamily="18" charset="0"/>
                              </a:rPr>
                              <m:t>𝑟</m:t>
                            </m:r>
                          </m:e>
                          <m:sub>
                            <m:r>
                              <a:rPr lang="en-US" sz="1100" b="0" i="1" kern="1200">
                                <a:latin typeface="Cambria Math" panose="02040503050406030204" pitchFamily="18" charset="0"/>
                              </a:rPr>
                              <m:t>𝑓</m:t>
                            </m:r>
                          </m:sub>
                        </m:sSub>
                      </m:e>
                    </m:d>
                    <m:r>
                      <a:rPr lang="en-US" sz="1100" b="0" i="1" kern="1200">
                        <a:latin typeface="Cambria Math" panose="02040503050406030204" pitchFamily="18" charset="0"/>
                      </a:rPr>
                      <m:t>+</m:t>
                    </m:r>
                    <m:sSub>
                      <m:sSubPr>
                        <m:ctrlPr>
                          <a:rPr lang="en-US" sz="1100" b="0" i="1" kern="1200">
                            <a:latin typeface="Cambria Math" panose="02040503050406030204" pitchFamily="18" charset="0"/>
                          </a:rPr>
                        </m:ctrlPr>
                      </m:sSubPr>
                      <m:e>
                        <m:r>
                          <a:rPr lang="en-US" sz="1100" b="0" i="1" kern="1200">
                            <a:latin typeface="Cambria Math" panose="02040503050406030204" pitchFamily="18" charset="0"/>
                            <a:ea typeface="Cambria Math" panose="02040503050406030204" pitchFamily="18" charset="0"/>
                          </a:rPr>
                          <m:t>𝛽</m:t>
                        </m:r>
                      </m:e>
                      <m:sub>
                        <m:r>
                          <a:rPr lang="en-US" sz="1100" b="0" i="1" kern="1200">
                            <a:latin typeface="Cambria Math" panose="02040503050406030204" pitchFamily="18" charset="0"/>
                          </a:rPr>
                          <m:t>2</m:t>
                        </m:r>
                      </m:sub>
                    </m:sSub>
                    <m:d>
                      <m:dPr>
                        <m:ctrlPr>
                          <a:rPr lang="en-US" sz="1100" b="0" i="1" kern="1200">
                            <a:latin typeface="Cambria Math" panose="02040503050406030204" pitchFamily="18" charset="0"/>
                          </a:rPr>
                        </m:ctrlPr>
                      </m:dPr>
                      <m:e>
                        <m:r>
                          <a:rPr lang="en-US" sz="1100" b="0" i="1" kern="1200">
                            <a:latin typeface="Cambria Math" panose="02040503050406030204" pitchFamily="18" charset="0"/>
                          </a:rPr>
                          <m:t>𝑆𝑀𝐵</m:t>
                        </m:r>
                      </m:e>
                    </m:d>
                    <m:r>
                      <a:rPr lang="en-US" sz="1100" b="0" i="1" kern="1200">
                        <a:latin typeface="Cambria Math" panose="02040503050406030204" pitchFamily="18" charset="0"/>
                      </a:rPr>
                      <m:t>+</m:t>
                    </m:r>
                    <m:sSub>
                      <m:sSubPr>
                        <m:ctrlPr>
                          <a:rPr lang="en-US" sz="1100" b="0" i="1" kern="1200">
                            <a:latin typeface="Cambria Math" panose="02040503050406030204" pitchFamily="18" charset="0"/>
                          </a:rPr>
                        </m:ctrlPr>
                      </m:sSubPr>
                      <m:e>
                        <m:r>
                          <a:rPr lang="en-US" sz="1100" b="0" i="1" kern="1200">
                            <a:latin typeface="Cambria Math" panose="02040503050406030204" pitchFamily="18" charset="0"/>
                            <a:ea typeface="Cambria Math" panose="02040503050406030204" pitchFamily="18" charset="0"/>
                          </a:rPr>
                          <m:t>𝛽</m:t>
                        </m:r>
                      </m:e>
                      <m:sub>
                        <m:r>
                          <a:rPr lang="en-US" sz="1100" b="0" i="1" kern="1200">
                            <a:latin typeface="Cambria Math" panose="02040503050406030204" pitchFamily="18" charset="0"/>
                          </a:rPr>
                          <m:t>3</m:t>
                        </m:r>
                      </m:sub>
                    </m:sSub>
                    <m:d>
                      <m:dPr>
                        <m:ctrlPr>
                          <a:rPr lang="en-US" sz="1100" b="0" i="1" kern="1200">
                            <a:latin typeface="Cambria Math" panose="02040503050406030204" pitchFamily="18" charset="0"/>
                          </a:rPr>
                        </m:ctrlPr>
                      </m:dPr>
                      <m:e>
                        <m:r>
                          <a:rPr lang="en-US" sz="1100" b="0" i="1" kern="1200">
                            <a:latin typeface="Cambria Math" panose="02040503050406030204" pitchFamily="18" charset="0"/>
                          </a:rPr>
                          <m:t>𝐻𝑀𝐿</m:t>
                        </m:r>
                      </m:e>
                    </m:d>
                    <m:r>
                      <a:rPr lang="en-US" sz="1100" b="0" i="1" kern="1200">
                        <a:latin typeface="Cambria Math" panose="02040503050406030204" pitchFamily="18" charset="0"/>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𝛽</m:t>
                        </m:r>
                      </m:e>
                      <m:sub>
                        <m:r>
                          <a:rPr lang="en-US" sz="1100" b="0" i="1">
                            <a:solidFill>
                              <a:schemeClr val="tx1"/>
                            </a:solidFill>
                            <a:effectLst/>
                            <a:latin typeface="Cambria Math" panose="02040503050406030204" pitchFamily="18" charset="0"/>
                            <a:ea typeface="+mn-ea"/>
                            <a:cs typeface="+mn-cs"/>
                          </a:rPr>
                          <m:t>4</m:t>
                        </m:r>
                      </m:sub>
                    </m:sSub>
                    <m:d>
                      <m:dPr>
                        <m:ctrlPr>
                          <a:rPr lang="en-US" sz="1100" b="0" i="1">
                            <a:solidFill>
                              <a:schemeClr val="tx1"/>
                            </a:solidFill>
                            <a:effectLst/>
                            <a:latin typeface="Cambria Math" panose="02040503050406030204" pitchFamily="18" charset="0"/>
                            <a:ea typeface="+mn-ea"/>
                            <a:cs typeface="+mn-cs"/>
                          </a:rPr>
                        </m:ctrlPr>
                      </m:dPr>
                      <m:e>
                        <m:r>
                          <a:rPr lang="en-US" sz="1100" b="0" i="1">
                            <a:solidFill>
                              <a:schemeClr val="tx1"/>
                            </a:solidFill>
                            <a:effectLst/>
                            <a:latin typeface="Cambria Math" panose="02040503050406030204" pitchFamily="18" charset="0"/>
                            <a:ea typeface="+mn-ea"/>
                            <a:cs typeface="+mn-cs"/>
                          </a:rPr>
                          <m:t>𝑊𝑀𝐿</m:t>
                        </m:r>
                      </m:e>
                    </m:d>
                    <m:r>
                      <a:rPr lang="en-US" sz="1100" b="0" i="1">
                        <a:solidFill>
                          <a:schemeClr val="tx1"/>
                        </a:solidFill>
                        <a:effectLst/>
                        <a:latin typeface="Cambria Math" panose="02040503050406030204" pitchFamily="18" charset="0"/>
                        <a:ea typeface="+mn-ea"/>
                        <a:cs typeface="+mn-cs"/>
                      </a:rPr>
                      <m:t>+</m:t>
                    </m:r>
                    <m:r>
                      <a:rPr lang="en-US" sz="1100" b="0" i="1" kern="1200">
                        <a:latin typeface="Cambria Math" panose="02040503050406030204" pitchFamily="18" charset="0"/>
                        <a:ea typeface="Cambria Math" panose="02040503050406030204" pitchFamily="18" charset="0"/>
                      </a:rPr>
                      <m:t>𝜀</m:t>
                    </m:r>
                  </m:oMath>
                </m:oMathPara>
              </a14:m>
              <a:endParaRPr lang="en-US" sz="1100" b="0" kern="1200">
                <a:ea typeface="Cambria Math" panose="02040503050406030204" pitchFamily="18" charset="0"/>
              </a:endParaRPr>
            </a:p>
            <a:p>
              <a:r>
                <a:rPr lang="en-IN" sz="1100" kern="1200"/>
                <a:t>Where:-</a:t>
              </a:r>
            </a:p>
            <a:p>
              <a:pPr/>
              <a14:m>
                <m:oMathPara xmlns:m="http://schemas.openxmlformats.org/officeDocument/2006/math">
                  <m:oMathParaPr>
                    <m:jc m:val="left"/>
                  </m:oMathParaPr>
                  <m:oMath xmlns:m="http://schemas.openxmlformats.org/officeDocument/2006/math">
                    <m:r>
                      <a:rPr lang="en-IN" sz="1100" i="1" kern="1200">
                        <a:latin typeface="Cambria Math" panose="02040503050406030204" pitchFamily="18" charset="0"/>
                        <a:ea typeface="Cambria Math" panose="02040503050406030204" pitchFamily="18" charset="0"/>
                      </a:rPr>
                      <m:t>𝜖</m:t>
                    </m:r>
                    <m:r>
                      <a:rPr lang="en-US" sz="1100" b="0" i="1" kern="1200">
                        <a:latin typeface="Cambria Math" panose="02040503050406030204" pitchFamily="18" charset="0"/>
                        <a:ea typeface="Cambria Math" panose="02040503050406030204" pitchFamily="18" charset="0"/>
                      </a:rPr>
                      <m:t> </m:t>
                    </m:r>
                    <m:d>
                      <m:dPr>
                        <m:ctrlPr>
                          <a:rPr lang="en-US" sz="1100" b="0" i="1" kern="1200">
                            <a:latin typeface="Cambria Math" panose="02040503050406030204" pitchFamily="18" charset="0"/>
                            <a:ea typeface="Cambria Math" panose="02040503050406030204" pitchFamily="18" charset="0"/>
                          </a:rPr>
                        </m:ctrlPr>
                      </m:dPr>
                      <m:e>
                        <m:r>
                          <a:rPr lang="en-US" sz="1100" b="0" i="1" kern="1200">
                            <a:latin typeface="Cambria Math" panose="02040503050406030204" pitchFamily="18" charset="0"/>
                            <a:ea typeface="Cambria Math" panose="02040503050406030204" pitchFamily="18" charset="0"/>
                          </a:rPr>
                          <m:t>𝑖𝑛𝑡𝑒𝑟𝑐𝑒𝑝𝑡</m:t>
                        </m:r>
                      </m:e>
                    </m:d>
                    <m:r>
                      <a:rPr lang="en-US" sz="1100" b="0" i="1" kern="1200">
                        <a:latin typeface="Cambria Math" panose="02040503050406030204" pitchFamily="18" charset="0"/>
                        <a:ea typeface="Cambria Math" panose="02040503050406030204" pitchFamily="18" charset="0"/>
                      </a:rPr>
                      <m:t>=</m:t>
                    </m:r>
                    <m:r>
                      <m:rPr>
                        <m:nor/>
                      </m:rPr>
                      <a:rPr lang="en-IN" sz="1100" b="0" i="0" u="none" strike="noStrike">
                        <a:solidFill>
                          <a:schemeClr val="tx1"/>
                        </a:solidFill>
                        <a:effectLst/>
                        <a:latin typeface="+mn-lt"/>
                        <a:ea typeface="+mn-ea"/>
                        <a:cs typeface="+mn-cs"/>
                      </a:rPr>
                      <m:t>2.316510688</m:t>
                    </m:r>
                    <m:r>
                      <m:rPr>
                        <m:nor/>
                      </m:rPr>
                      <a:rPr lang="en-IN"/>
                      <m:t> </m:t>
                    </m:r>
                  </m:oMath>
                </m:oMathPara>
              </a14:m>
              <a:endParaRPr lang="en-IN"/>
            </a:p>
            <a:p>
              <a14:m>
                <m:oMath xmlns:m="http://schemas.openxmlformats.org/officeDocument/2006/math">
                  <m:sSub>
                    <m:sSubPr>
                      <m:ctrlPr>
                        <a:rPr lang="en-IN" sz="1100" i="1" kern="1200">
                          <a:latin typeface="Cambria Math" panose="02040503050406030204" pitchFamily="18" charset="0"/>
                        </a:rPr>
                      </m:ctrlPr>
                    </m:sSubPr>
                    <m:e>
                      <m:r>
                        <a:rPr lang="en-IN" sz="1100" i="1" kern="1200">
                          <a:latin typeface="Cambria Math" panose="02040503050406030204" pitchFamily="18" charset="0"/>
                          <a:ea typeface="Cambria Math" panose="02040503050406030204" pitchFamily="18" charset="0"/>
                        </a:rPr>
                        <m:t>𝛽</m:t>
                      </m:r>
                    </m:e>
                    <m:sub>
                      <m:r>
                        <a:rPr lang="en-US" sz="1100" b="0" i="1" kern="1200">
                          <a:latin typeface="Cambria Math" panose="02040503050406030204" pitchFamily="18" charset="0"/>
                        </a:rPr>
                        <m:t>1</m:t>
                      </m:r>
                    </m:sub>
                  </m:sSub>
                  <m:r>
                    <a:rPr lang="en-US" sz="1100" b="0" i="1" kern="1200">
                      <a:latin typeface="Cambria Math" panose="02040503050406030204" pitchFamily="18" charset="0"/>
                    </a:rPr>
                    <m:t>=</m:t>
                  </m:r>
                </m:oMath>
              </a14:m>
              <a:r>
                <a:rPr lang="en-IN" sz="1100" kern="1200"/>
                <a:t>1.808071822 </a:t>
              </a:r>
              <a:endParaRPr lang="en-IN" sz="1100" b="0" i="0" u="none" strike="noStrike" kern="0">
                <a:solidFill>
                  <a:schemeClr val="tx1"/>
                </a:solidFill>
                <a:effectLst/>
                <a:latin typeface="+mn-lt"/>
                <a:ea typeface="+mn-ea"/>
                <a:cs typeface="+mn-cs"/>
              </a:endParaRPr>
            </a:p>
            <a:p>
              <a14:m>
                <m:oMath xmlns:m="http://schemas.openxmlformats.org/officeDocument/2006/math">
                  <m:sSub>
                    <m:sSubPr>
                      <m:ctrlPr>
                        <a:rPr lang="en-IN" sz="1100" i="1" kern="1200">
                          <a:latin typeface="Cambria Math" panose="02040503050406030204" pitchFamily="18" charset="0"/>
                        </a:rPr>
                      </m:ctrlPr>
                    </m:sSubPr>
                    <m:e>
                      <m:r>
                        <a:rPr lang="en-IN" sz="1100" i="1" kern="1200">
                          <a:latin typeface="Cambria Math" panose="02040503050406030204" pitchFamily="18" charset="0"/>
                          <a:ea typeface="Cambria Math" panose="02040503050406030204" pitchFamily="18" charset="0"/>
                        </a:rPr>
                        <m:t>𝛽</m:t>
                      </m:r>
                    </m:e>
                    <m:sub>
                      <m:r>
                        <a:rPr lang="en-US" sz="1100" b="0" i="1" kern="1200">
                          <a:latin typeface="Cambria Math" panose="02040503050406030204" pitchFamily="18" charset="0"/>
                        </a:rPr>
                        <m:t>2</m:t>
                      </m:r>
                    </m:sub>
                  </m:sSub>
                  <m:r>
                    <a:rPr lang="en-US" sz="1100" b="0" i="1" kern="1200">
                      <a:latin typeface="Cambria Math" panose="02040503050406030204" pitchFamily="18" charset="0"/>
                    </a:rPr>
                    <m:t>=</m:t>
                  </m:r>
                </m:oMath>
              </a14:m>
              <a:r>
                <a:rPr lang="en-IN" sz="1100" b="0" i="0" u="none" strike="noStrike">
                  <a:solidFill>
                    <a:schemeClr val="tx1"/>
                  </a:solidFill>
                  <a:effectLst/>
                  <a:latin typeface="+mn-lt"/>
                  <a:ea typeface="+mn-ea"/>
                  <a:cs typeface="+mn-cs"/>
                </a:rPr>
                <a:t>0.130850238</a:t>
              </a:r>
            </a:p>
            <a:p>
              <a14:m>
                <m:oMath xmlns:m="http://schemas.openxmlformats.org/officeDocument/2006/math">
                  <m:sSub>
                    <m:sSubPr>
                      <m:ctrlPr>
                        <a:rPr lang="en-IN" sz="1100" i="1" kern="1200">
                          <a:latin typeface="Cambria Math" panose="02040503050406030204" pitchFamily="18" charset="0"/>
                        </a:rPr>
                      </m:ctrlPr>
                    </m:sSubPr>
                    <m:e>
                      <m:r>
                        <a:rPr lang="en-IN" sz="1100" i="1" kern="1200">
                          <a:latin typeface="Cambria Math" panose="02040503050406030204" pitchFamily="18" charset="0"/>
                          <a:ea typeface="Cambria Math" panose="02040503050406030204" pitchFamily="18" charset="0"/>
                        </a:rPr>
                        <m:t>𝛽</m:t>
                      </m:r>
                    </m:e>
                    <m:sub>
                      <m:r>
                        <a:rPr lang="en-US" sz="1100" b="0" i="1" kern="1200">
                          <a:latin typeface="Cambria Math" panose="02040503050406030204" pitchFamily="18" charset="0"/>
                        </a:rPr>
                        <m:t>3</m:t>
                      </m:r>
                    </m:sub>
                  </m:sSub>
                  <m:r>
                    <a:rPr lang="en-US" sz="1100" b="0" i="1" kern="1200">
                      <a:latin typeface="Cambria Math" panose="02040503050406030204" pitchFamily="18" charset="0"/>
                    </a:rPr>
                    <m:t>=</m:t>
                  </m:r>
                </m:oMath>
              </a14:m>
              <a:r>
                <a:rPr lang="en-IN" sz="1100" b="0" i="0" u="none" strike="noStrike">
                  <a:solidFill>
                    <a:schemeClr val="tx1"/>
                  </a:solidFill>
                  <a:effectLst/>
                  <a:latin typeface="+mn-lt"/>
                  <a:ea typeface="+mn-ea"/>
                  <a:cs typeface="+mn-cs"/>
                </a:rPr>
                <a:t>0.02288942</a:t>
              </a:r>
            </a:p>
            <a:p>
              <a14:m>
                <m:oMath xmlns:m="http://schemas.openxmlformats.org/officeDocument/2006/math">
                  <m:sSub>
                    <m:sSubPr>
                      <m:ctrlPr>
                        <a:rPr lang="en-IN" i="1">
                          <a:latin typeface="Cambria Math" panose="02040503050406030204" pitchFamily="18" charset="0"/>
                        </a:rPr>
                      </m:ctrlPr>
                    </m:sSubPr>
                    <m:e>
                      <m:r>
                        <a:rPr lang="en-IN" i="1">
                          <a:latin typeface="Cambria Math" panose="02040503050406030204" pitchFamily="18" charset="0"/>
                          <a:ea typeface="Cambria Math" panose="02040503050406030204" pitchFamily="18" charset="0"/>
                        </a:rPr>
                        <m:t>𝛽</m:t>
                      </m:r>
                    </m:e>
                    <m:sub>
                      <m:r>
                        <a:rPr lang="en-US" b="0" i="1">
                          <a:latin typeface="Cambria Math" panose="02040503050406030204" pitchFamily="18" charset="0"/>
                        </a:rPr>
                        <m:t>4</m:t>
                      </m:r>
                    </m:sub>
                  </m:sSub>
                  <m:r>
                    <a:rPr lang="en-US" b="0" i="1">
                      <a:latin typeface="Cambria Math" panose="02040503050406030204" pitchFamily="18" charset="0"/>
                    </a:rPr>
                    <m:t>=</m:t>
                  </m:r>
                  <m:r>
                    <a:rPr lang="en-US" b="0" i="0">
                      <a:latin typeface="Cambria Math" panose="02040503050406030204" pitchFamily="18" charset="0"/>
                    </a:rPr>
                    <m:t> </m:t>
                  </m:r>
                </m:oMath>
              </a14:m>
              <a:r>
                <a:rPr lang="en-IN" sz="1100" b="0" i="0" u="none" strike="noStrike">
                  <a:solidFill>
                    <a:schemeClr val="tx1"/>
                  </a:solidFill>
                  <a:effectLst/>
                  <a:latin typeface="+mn-lt"/>
                  <a:ea typeface="+mn-ea"/>
                  <a:cs typeface="+mn-cs"/>
                </a:rPr>
                <a:t>0.128781685</a:t>
              </a:r>
              <a:r>
                <a:rPr lang="en-IN"/>
                <a:t> </a:t>
              </a:r>
              <a:endParaRPr lang="en-IN" sz="1100" kern="1200"/>
            </a:p>
          </xdr:txBody>
        </xdr:sp>
      </mc:Choice>
      <mc:Fallback xmlns="">
        <xdr:sp macro="" textlink="">
          <xdr:nvSpPr>
            <xdr:cNvPr id="7" name="TextBox 6">
              <a:extLst>
                <a:ext uri="{FF2B5EF4-FFF2-40B4-BE49-F238E27FC236}">
                  <a16:creationId xmlns:a16="http://schemas.microsoft.com/office/drawing/2014/main" id="{84334EEF-6BD7-4393-BD3A-22D0B05BBD36}"/>
                </a:ext>
              </a:extLst>
            </xdr:cNvPr>
            <xdr:cNvSpPr txBox="1"/>
          </xdr:nvSpPr>
          <xdr:spPr>
            <a:xfrm>
              <a:off x="41748075" y="3049905"/>
              <a:ext cx="3624518" cy="12359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IN" sz="1100" i="0" kern="1200">
                  <a:latin typeface="Cambria Math" panose="02040503050406030204" pitchFamily="18" charset="0"/>
                </a:rPr>
                <a:t>	</a:t>
              </a:r>
              <a:r>
                <a:rPr lang="en-US" sz="1100" b="0" i="0" kern="1200">
                  <a:latin typeface="Cambria Math" panose="02040503050406030204" pitchFamily="18" charset="0"/>
                </a:rPr>
                <a:t>𝑟〖−𝑟〗_𝑓=</a:t>
              </a:r>
              <a:r>
                <a:rPr lang="en-US" sz="1100" b="0" i="0" kern="1200">
                  <a:latin typeface="Cambria Math" panose="02040503050406030204" pitchFamily="18" charset="0"/>
                  <a:ea typeface="Cambria Math" panose="02040503050406030204" pitchFamily="18" charset="0"/>
                </a:rPr>
                <a:t>𝛽_</a:t>
              </a:r>
              <a:r>
                <a:rPr lang="en-US" sz="1100" b="0" i="0" kern="1200">
                  <a:latin typeface="Cambria Math" panose="02040503050406030204" pitchFamily="18" charset="0"/>
                </a:rPr>
                <a:t>1 (𝑟_𝑚−𝑟_𝑓 )+</a:t>
              </a:r>
              <a:r>
                <a:rPr lang="en-US" sz="1100" b="0" i="0" kern="1200">
                  <a:latin typeface="Cambria Math" panose="02040503050406030204" pitchFamily="18" charset="0"/>
                  <a:ea typeface="Cambria Math" panose="02040503050406030204" pitchFamily="18" charset="0"/>
                </a:rPr>
                <a:t>𝛽_</a:t>
              </a:r>
              <a:r>
                <a:rPr lang="en-US" sz="1100" b="0" i="0" kern="1200">
                  <a:latin typeface="Cambria Math" panose="02040503050406030204" pitchFamily="18" charset="0"/>
                </a:rPr>
                <a:t>2 (𝑆𝑀𝐵)+</a:t>
              </a:r>
              <a:r>
                <a:rPr lang="en-US" sz="1100" b="0" i="0" kern="1200">
                  <a:latin typeface="Cambria Math" panose="02040503050406030204" pitchFamily="18" charset="0"/>
                  <a:ea typeface="Cambria Math" panose="02040503050406030204" pitchFamily="18" charset="0"/>
                </a:rPr>
                <a:t>𝛽_</a:t>
              </a:r>
              <a:r>
                <a:rPr lang="en-US" sz="1100" b="0" i="0" kern="1200">
                  <a:latin typeface="Cambria Math" panose="02040503050406030204" pitchFamily="18" charset="0"/>
                </a:rPr>
                <a:t>3 (𝐻𝑀𝐿)+</a:t>
              </a:r>
              <a:r>
                <a:rPr lang="en-US" sz="1100" b="0" i="0">
                  <a:solidFill>
                    <a:schemeClr val="tx1"/>
                  </a:solidFill>
                  <a:effectLst/>
                  <a:latin typeface="+mn-lt"/>
                  <a:ea typeface="+mn-ea"/>
                  <a:cs typeface="+mn-cs"/>
                </a:rPr>
                <a:t>𝛽_4 (𝑊𝑀𝐿)</a:t>
              </a:r>
              <a:r>
                <a:rPr lang="en-US" sz="1100" b="0" i="0">
                  <a:solidFill>
                    <a:schemeClr val="tx1"/>
                  </a:solidFill>
                  <a:effectLst/>
                  <a:latin typeface="Cambria Math" panose="02040503050406030204" pitchFamily="18" charset="0"/>
                  <a:ea typeface="+mn-ea"/>
                  <a:cs typeface="+mn-cs"/>
                </a:rPr>
                <a:t>+</a:t>
              </a:r>
              <a:r>
                <a:rPr lang="en-US" sz="1100" b="0" i="0" kern="1200">
                  <a:latin typeface="Cambria Math" panose="02040503050406030204" pitchFamily="18" charset="0"/>
                  <a:ea typeface="Cambria Math" panose="02040503050406030204" pitchFamily="18" charset="0"/>
                </a:rPr>
                <a:t>𝜀</a:t>
              </a:r>
              <a:endParaRPr lang="en-US" sz="1100" b="0" kern="1200">
                <a:ea typeface="Cambria Math" panose="02040503050406030204" pitchFamily="18" charset="0"/>
              </a:endParaRPr>
            </a:p>
            <a:p>
              <a:r>
                <a:rPr lang="en-IN" sz="1100" kern="1200"/>
                <a:t>Where:-</a:t>
              </a:r>
            </a:p>
            <a:p>
              <a:pPr/>
              <a:r>
                <a:rPr lang="en-IN" sz="1100" i="0" kern="1200">
                  <a:latin typeface="Cambria Math" panose="02040503050406030204" pitchFamily="18" charset="0"/>
                  <a:ea typeface="Cambria Math" panose="02040503050406030204" pitchFamily="18" charset="0"/>
                </a:rPr>
                <a:t>𝜖</a:t>
              </a:r>
              <a:r>
                <a:rPr lang="en-US" sz="1100" b="0" i="0" kern="1200">
                  <a:latin typeface="Cambria Math" panose="02040503050406030204" pitchFamily="18" charset="0"/>
                  <a:ea typeface="Cambria Math" panose="02040503050406030204" pitchFamily="18" charset="0"/>
                </a:rPr>
                <a:t> (𝑖𝑛𝑡𝑒𝑟𝑐𝑒𝑝𝑡)=</a:t>
              </a:r>
              <a:r>
                <a:rPr lang="en-IN" sz="1100" b="0" i="0" u="none" strike="noStrike" kern="1200">
                  <a:solidFill>
                    <a:schemeClr val="tx1"/>
                  </a:solidFill>
                  <a:effectLst/>
                  <a:latin typeface="Cambria Math" panose="02040503050406030204" pitchFamily="18" charset="0"/>
                  <a:ea typeface="+mn-ea"/>
                  <a:cs typeface="+mn-cs"/>
                </a:rPr>
                <a:t>"</a:t>
              </a:r>
              <a:r>
                <a:rPr lang="en-IN" sz="1100" b="0" i="0" u="none" strike="noStrike">
                  <a:solidFill>
                    <a:schemeClr val="tx1"/>
                  </a:solidFill>
                  <a:effectLst/>
                  <a:latin typeface="Cambria Math" panose="02040503050406030204" pitchFamily="18" charset="0"/>
                  <a:ea typeface="+mn-ea"/>
                  <a:cs typeface="+mn-cs"/>
                </a:rPr>
                <a:t>2.316510688</a:t>
              </a:r>
              <a:r>
                <a:rPr lang="en-IN" i="0">
                  <a:latin typeface="Cambria Math" panose="02040503050406030204" pitchFamily="18" charset="0"/>
                </a:rPr>
                <a:t> </a:t>
              </a:r>
              <a:r>
                <a:rPr lang="en-IN" i="0"/>
                <a:t>"</a:t>
              </a:r>
              <a:endParaRPr lang="en-IN"/>
            </a:p>
            <a:p>
              <a:r>
                <a:rPr lang="en-IN" sz="1100" i="0" kern="1200">
                  <a:latin typeface="Cambria Math" panose="02040503050406030204" pitchFamily="18" charset="0"/>
                  <a:ea typeface="Cambria Math" panose="02040503050406030204" pitchFamily="18" charset="0"/>
                </a:rPr>
                <a:t>𝛽_</a:t>
              </a:r>
              <a:r>
                <a:rPr lang="en-US" sz="1100" b="0" i="0" kern="1200">
                  <a:latin typeface="Cambria Math" panose="02040503050406030204" pitchFamily="18" charset="0"/>
                </a:rPr>
                <a:t>1=</a:t>
              </a:r>
              <a:r>
                <a:rPr lang="en-IN" sz="1100" kern="1200"/>
                <a:t>1.808071822 </a:t>
              </a:r>
              <a:endParaRPr lang="en-IN" sz="1100" b="0" i="0" u="none" strike="noStrike" kern="0">
                <a:solidFill>
                  <a:schemeClr val="tx1"/>
                </a:solidFill>
                <a:effectLst/>
                <a:latin typeface="+mn-lt"/>
                <a:ea typeface="+mn-ea"/>
                <a:cs typeface="+mn-cs"/>
              </a:endParaRPr>
            </a:p>
            <a:p>
              <a:r>
                <a:rPr lang="en-IN" sz="1100" i="0" kern="1200">
                  <a:latin typeface="Cambria Math" panose="02040503050406030204" pitchFamily="18" charset="0"/>
                  <a:ea typeface="Cambria Math" panose="02040503050406030204" pitchFamily="18" charset="0"/>
                </a:rPr>
                <a:t>𝛽_</a:t>
              </a:r>
              <a:r>
                <a:rPr lang="en-US" sz="1100" b="0" i="0" kern="1200">
                  <a:latin typeface="Cambria Math" panose="02040503050406030204" pitchFamily="18" charset="0"/>
                </a:rPr>
                <a:t>2=</a:t>
              </a:r>
              <a:r>
                <a:rPr lang="en-IN" sz="1100" b="0" i="0" u="none" strike="noStrike">
                  <a:solidFill>
                    <a:schemeClr val="tx1"/>
                  </a:solidFill>
                  <a:effectLst/>
                  <a:latin typeface="+mn-lt"/>
                  <a:ea typeface="+mn-ea"/>
                  <a:cs typeface="+mn-cs"/>
                </a:rPr>
                <a:t>0.130850238</a:t>
              </a:r>
            </a:p>
            <a:p>
              <a:r>
                <a:rPr lang="en-IN" sz="1100" i="0" kern="1200">
                  <a:latin typeface="Cambria Math" panose="02040503050406030204" pitchFamily="18" charset="0"/>
                  <a:ea typeface="Cambria Math" panose="02040503050406030204" pitchFamily="18" charset="0"/>
                </a:rPr>
                <a:t>𝛽_</a:t>
              </a:r>
              <a:r>
                <a:rPr lang="en-US" sz="1100" b="0" i="0" kern="1200">
                  <a:latin typeface="Cambria Math" panose="02040503050406030204" pitchFamily="18" charset="0"/>
                </a:rPr>
                <a:t>3=</a:t>
              </a:r>
              <a:r>
                <a:rPr lang="en-IN" sz="1100" b="0" i="0" u="none" strike="noStrike">
                  <a:solidFill>
                    <a:schemeClr val="tx1"/>
                  </a:solidFill>
                  <a:effectLst/>
                  <a:latin typeface="+mn-lt"/>
                  <a:ea typeface="+mn-ea"/>
                  <a:cs typeface="+mn-cs"/>
                </a:rPr>
                <a:t>0.02288942</a:t>
              </a:r>
            </a:p>
            <a:p>
              <a:r>
                <a:rPr lang="en-IN" i="0">
                  <a:latin typeface="Cambria Math" panose="02040503050406030204" pitchFamily="18" charset="0"/>
                  <a:ea typeface="Cambria Math" panose="02040503050406030204" pitchFamily="18" charset="0"/>
                </a:rPr>
                <a:t>𝛽_</a:t>
              </a:r>
              <a:r>
                <a:rPr lang="en-US" b="0" i="0">
                  <a:latin typeface="Cambria Math" panose="02040503050406030204" pitchFamily="18" charset="0"/>
                </a:rPr>
                <a:t>4= </a:t>
              </a:r>
              <a:r>
                <a:rPr lang="en-IN" sz="1100" b="0" i="0" u="none" strike="noStrike">
                  <a:solidFill>
                    <a:schemeClr val="tx1"/>
                  </a:solidFill>
                  <a:effectLst/>
                  <a:latin typeface="+mn-lt"/>
                  <a:ea typeface="+mn-ea"/>
                  <a:cs typeface="+mn-cs"/>
                </a:rPr>
                <a:t>0.128781685</a:t>
              </a:r>
              <a:r>
                <a:rPr lang="en-IN"/>
                <a:t> </a:t>
              </a:r>
              <a:endParaRPr lang="en-IN" sz="1100" kern="120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167640</xdr:colOff>
      <xdr:row>1</xdr:row>
      <xdr:rowOff>167640</xdr:rowOff>
    </xdr:to>
    <xdr:sp macro="" textlink="">
      <xdr:nvSpPr>
        <xdr:cNvPr id="2049" name="AutoShape 1" descr="expand">
          <a:extLst>
            <a:ext uri="{FF2B5EF4-FFF2-40B4-BE49-F238E27FC236}">
              <a16:creationId xmlns:a16="http://schemas.microsoft.com/office/drawing/2014/main" id="{5A5552D1-436E-9F1C-4EBA-24761D4F3A4B}"/>
            </a:ext>
          </a:extLst>
        </xdr:cNvPr>
        <xdr:cNvSpPr>
          <a:spLocks noChangeAspect="1" noChangeArrowheads="1"/>
        </xdr:cNvSpPr>
      </xdr:nvSpPr>
      <xdr:spPr bwMode="auto">
        <a:xfrm>
          <a:off x="0" y="0"/>
          <a:ext cx="175260" cy="1752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xdr:row>
      <xdr:rowOff>0</xdr:rowOff>
    </xdr:from>
    <xdr:to>
      <xdr:col>3</xdr:col>
      <xdr:colOff>304800</xdr:colOff>
      <xdr:row>2</xdr:row>
      <xdr:rowOff>131445</xdr:rowOff>
    </xdr:to>
    <xdr:sp macro="" textlink="">
      <xdr:nvSpPr>
        <xdr:cNvPr id="2055" name="AutoShape 7" descr="add">
          <a:extLst>
            <a:ext uri="{FF2B5EF4-FFF2-40B4-BE49-F238E27FC236}">
              <a16:creationId xmlns:a16="http://schemas.microsoft.com/office/drawing/2014/main" id="{24D50676-048E-C95E-69D0-A62BE0CAF71F}"/>
            </a:ext>
          </a:extLst>
        </xdr:cNvPr>
        <xdr:cNvSpPr>
          <a:spLocks noChangeAspect="1" noChangeArrowheads="1"/>
        </xdr:cNvSpPr>
      </xdr:nvSpPr>
      <xdr:spPr bwMode="auto">
        <a:xfrm>
          <a:off x="135636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13</xdr:col>
      <xdr:colOff>114302</xdr:colOff>
      <xdr:row>8</xdr:row>
      <xdr:rowOff>96202</xdr:rowOff>
    </xdr:from>
    <xdr:to>
      <xdr:col>15</xdr:col>
      <xdr:colOff>647700</xdr:colOff>
      <xdr:row>23</xdr:row>
      <xdr:rowOff>134302</xdr:rowOff>
    </xdr:to>
    <xdr:graphicFrame macro="">
      <xdr:nvGraphicFramePr>
        <xdr:cNvPr id="3" name="Chart 2">
          <a:extLst>
            <a:ext uri="{FF2B5EF4-FFF2-40B4-BE49-F238E27FC236}">
              <a16:creationId xmlns:a16="http://schemas.microsoft.com/office/drawing/2014/main" id="{B9B19362-D029-A21E-5294-0CCFAF917F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987742</xdr:colOff>
      <xdr:row>8</xdr:row>
      <xdr:rowOff>105727</xdr:rowOff>
    </xdr:from>
    <xdr:to>
      <xdr:col>22</xdr:col>
      <xdr:colOff>479107</xdr:colOff>
      <xdr:row>23</xdr:row>
      <xdr:rowOff>120967</xdr:rowOff>
    </xdr:to>
    <xdr:graphicFrame macro="">
      <xdr:nvGraphicFramePr>
        <xdr:cNvPr id="4" name="Chart 3">
          <a:extLst>
            <a:ext uri="{FF2B5EF4-FFF2-40B4-BE49-F238E27FC236}">
              <a16:creationId xmlns:a16="http://schemas.microsoft.com/office/drawing/2014/main" id="{AABF3DFE-5CEC-0A4A-E960-FBD44A2675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360045</xdr:colOff>
      <xdr:row>28</xdr:row>
      <xdr:rowOff>161925</xdr:rowOff>
    </xdr:from>
    <xdr:to>
      <xdr:col>18</xdr:col>
      <xdr:colOff>561975</xdr:colOff>
      <xdr:row>43</xdr:row>
      <xdr:rowOff>177165</xdr:rowOff>
    </xdr:to>
    <xdr:graphicFrame macro="">
      <xdr:nvGraphicFramePr>
        <xdr:cNvPr id="2" name="Chart 1">
          <a:extLst>
            <a:ext uri="{FF2B5EF4-FFF2-40B4-BE49-F238E27FC236}">
              <a16:creationId xmlns:a16="http://schemas.microsoft.com/office/drawing/2014/main" id="{A701C3A9-CB84-4ABA-800E-0FED7C8298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1152525</xdr:colOff>
      <xdr:row>51</xdr:row>
      <xdr:rowOff>47625</xdr:rowOff>
    </xdr:from>
    <xdr:to>
      <xdr:col>20</xdr:col>
      <xdr:colOff>144780</xdr:colOff>
      <xdr:row>66</xdr:row>
      <xdr:rowOff>62865</xdr:rowOff>
    </xdr:to>
    <xdr:graphicFrame macro="">
      <xdr:nvGraphicFramePr>
        <xdr:cNvPr id="7" name="Chart 6">
          <a:extLst>
            <a:ext uri="{FF2B5EF4-FFF2-40B4-BE49-F238E27FC236}">
              <a16:creationId xmlns:a16="http://schemas.microsoft.com/office/drawing/2014/main" id="{282EC4BE-1BC7-45AB-8C54-F36CA1D835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19050</xdr:colOff>
      <xdr:row>68</xdr:row>
      <xdr:rowOff>133350</xdr:rowOff>
    </xdr:from>
    <xdr:to>
      <xdr:col>24</xdr:col>
      <xdr:colOff>358140</xdr:colOff>
      <xdr:row>114</xdr:row>
      <xdr:rowOff>152400</xdr:rowOff>
    </xdr:to>
    <xdr:sp macro="" textlink="">
      <xdr:nvSpPr>
        <xdr:cNvPr id="8" name="TextBox 7">
          <a:extLst>
            <a:ext uri="{FF2B5EF4-FFF2-40B4-BE49-F238E27FC236}">
              <a16:creationId xmlns:a16="http://schemas.microsoft.com/office/drawing/2014/main" id="{659F7122-E038-AC83-16F3-B34C1FA80FEA}"/>
            </a:ext>
          </a:extLst>
        </xdr:cNvPr>
        <xdr:cNvSpPr txBox="1"/>
      </xdr:nvSpPr>
      <xdr:spPr>
        <a:xfrm>
          <a:off x="12792075" y="12620625"/>
          <a:ext cx="8359140" cy="8343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kern="1200"/>
            <a:t>The company’s financial strategy appears aligned with a mature and stable growth phase. Here’s how the elements fit together:</a:t>
          </a:r>
        </a:p>
        <a:p>
          <a:endParaRPr lang="en-IN" sz="1100" kern="1200"/>
        </a:p>
        <a:p>
          <a:r>
            <a:rPr lang="en-IN" sz="1100" kern="1200"/>
            <a:t>1.Decreasing Debt Ratio and Increasing Equity Ratio:  </a:t>
          </a:r>
        </a:p>
        <a:p>
          <a:r>
            <a:rPr lang="en-IN" sz="1100" kern="1200"/>
            <a:t>    </a:t>
          </a:r>
        </a:p>
        <a:p>
          <a:r>
            <a:rPr lang="en-IN" sz="1100" kern="1200"/>
            <a:t>A)The company prioritizes financial stability and   reduces risk by shifting to a more equity-based capital structure.</a:t>
          </a:r>
        </a:p>
        <a:p>
          <a:r>
            <a:rPr lang="en-IN" sz="1100" kern="1200"/>
            <a:t>B)This reduces interest burdens and enhances flexibility for future investments.</a:t>
          </a:r>
        </a:p>
        <a:p>
          <a:endParaRPr lang="en-IN" sz="1100" kern="1200"/>
        </a:p>
        <a:p>
          <a:r>
            <a:rPr lang="en-IN" sz="1100" kern="1200"/>
            <a:t>2.Stable Current Ratio and Increasing Interest Coverage:</a:t>
          </a:r>
        </a:p>
        <a:p>
          <a:endParaRPr lang="en-IN" sz="1100" kern="1200"/>
        </a:p>
        <a:p>
          <a:r>
            <a:rPr lang="en-IN" sz="1100" kern="1200"/>
            <a:t>A)Liquidity and debt-servicing capability are robust, reflecting efficient management of operations and obligations.</a:t>
          </a:r>
        </a:p>
        <a:p>
          <a:endParaRPr lang="en-IN" sz="1100" kern="1200"/>
        </a:p>
        <a:p>
          <a:r>
            <a:rPr lang="en-IN" sz="1100" kern="1200"/>
            <a:t>3.Increasing DPS and Payout Ratio:</a:t>
          </a:r>
        </a:p>
        <a:p>
          <a:endParaRPr lang="en-IN" sz="1100" kern="1200"/>
        </a:p>
        <a:p>
          <a:r>
            <a:rPr lang="en-IN" sz="1100" kern="1200"/>
            <a:t>A)Management is focused on rewarding shareholders, which is typical for mature companies with limited high-return reinvestment opportunities.</a:t>
          </a:r>
        </a:p>
        <a:p>
          <a:r>
            <a:rPr lang="en-IN" sz="1100" kern="1200"/>
            <a:t>B)Reflects confidence in maintaining profitability and cash flow stability.</a:t>
          </a:r>
        </a:p>
        <a:p>
          <a:endParaRPr lang="en-IN" sz="1100" kern="1200"/>
        </a:p>
        <a:p>
          <a:endParaRPr lang="en-IN" sz="1100" kern="1200"/>
        </a:p>
        <a:p>
          <a:r>
            <a:rPr lang="en-IN" sz="1100" kern="1200"/>
            <a:t>Strategic Implications</a:t>
          </a:r>
        </a:p>
        <a:p>
          <a:endParaRPr lang="en-IN" sz="1100" kern="1200"/>
        </a:p>
        <a:p>
          <a:r>
            <a:rPr lang="en-IN" sz="1100" kern="1200"/>
            <a:t>1.Strengthened Financial Health:</a:t>
          </a:r>
        </a:p>
        <a:p>
          <a:endParaRPr lang="en-IN" sz="1100" kern="1200"/>
        </a:p>
        <a:p>
          <a:r>
            <a:rPr lang="en-IN" sz="1100" kern="1200"/>
            <a:t>A)The reduced debt enhances financial resilience during economic uncertainties.</a:t>
          </a:r>
        </a:p>
        <a:p>
          <a:r>
            <a:rPr lang="en-IN" sz="1100" kern="1200"/>
            <a:t>B)Equity growth shows strong investor confidence or solid retained earnings.</a:t>
          </a:r>
        </a:p>
        <a:p>
          <a:endParaRPr lang="en-IN" sz="1100" kern="1200"/>
        </a:p>
        <a:p>
          <a:r>
            <a:rPr lang="en-IN" sz="1100" kern="1200"/>
            <a:t>2.Shareholder-Centric Approach:</a:t>
          </a:r>
        </a:p>
        <a:p>
          <a:endParaRPr lang="en-IN" sz="1100" kern="1200"/>
        </a:p>
        <a:p>
          <a:r>
            <a:rPr lang="en-IN" sz="1100" kern="1200"/>
            <a:t>A)Increased payouts may attract and retain investors seeking consistent returns.</a:t>
          </a:r>
        </a:p>
        <a:p>
          <a:endParaRPr lang="en-IN" sz="1100" kern="1200"/>
        </a:p>
        <a:p>
          <a:r>
            <a:rPr lang="en-IN" sz="1100" kern="1200"/>
            <a:t>3.Future Growth Potential:</a:t>
          </a:r>
        </a:p>
        <a:p>
          <a:endParaRPr lang="en-IN" sz="1100" kern="1200"/>
        </a:p>
        <a:p>
          <a:r>
            <a:rPr lang="en-IN" sz="1100" kern="1200"/>
            <a:t>A)While focusing on stability, the company might also retain sufficient funds for selective investment opportunities.</a:t>
          </a:r>
        </a:p>
        <a:p>
          <a:endParaRPr lang="en-IN" sz="1100" kern="1200"/>
        </a:p>
        <a:p>
          <a:endParaRPr lang="en-IN" sz="1100" kern="1200"/>
        </a:p>
        <a:p>
          <a:r>
            <a:rPr lang="en-IN" sz="1100" kern="1200"/>
            <a:t>Potential Risks:</a:t>
          </a:r>
        </a:p>
        <a:p>
          <a:endParaRPr lang="en-IN" sz="1100" kern="1200"/>
        </a:p>
        <a:p>
          <a:r>
            <a:rPr lang="en-IN" sz="1100" kern="1200"/>
            <a:t>1.Overreliance on Equity: While reducing debt is positive, excessive reliance on equity could dilute existing shareholder value if driven by equity issuance.</a:t>
          </a:r>
        </a:p>
        <a:p>
          <a:endParaRPr lang="en-IN" sz="1100" kern="1200"/>
        </a:p>
        <a:p>
          <a:r>
            <a:rPr lang="en-IN" sz="1100" kern="1200"/>
            <a:t>2.Dividend Policy: Increasing payouts, if unsustainable, could strain financials in less profitable periods.</a:t>
          </a:r>
        </a:p>
        <a:p>
          <a:endParaRPr lang="en-IN" sz="1100" kern="1200"/>
        </a:p>
        <a:p>
          <a:r>
            <a:rPr lang="en-IN" sz="1100" kern="1200"/>
            <a:t>Conclusion:</a:t>
          </a:r>
        </a:p>
        <a:p>
          <a:endParaRPr lang="en-IN" sz="1100" kern="1200"/>
        </a:p>
        <a:p>
          <a:r>
            <a:rPr lang="en-IN" sz="1100" kern="1200"/>
            <a:t>The company is progressing towards a conservative and shareholder-friendly financial structure. Its capital allocation strategy reflects stability, reduced risk, and commitment to investor returns, all while maintaining operational liquidity and profitability. This positions the company well for long-term sustainability and growt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1150620</xdr:colOff>
      <xdr:row>16</xdr:row>
      <xdr:rowOff>64770</xdr:rowOff>
    </xdr:from>
    <xdr:to>
      <xdr:col>11</xdr:col>
      <xdr:colOff>20955</xdr:colOff>
      <xdr:row>31</xdr:row>
      <xdr:rowOff>72390</xdr:rowOff>
    </xdr:to>
    <xdr:graphicFrame macro="">
      <xdr:nvGraphicFramePr>
        <xdr:cNvPr id="2" name="Chart 1">
          <a:extLst>
            <a:ext uri="{FF2B5EF4-FFF2-40B4-BE49-F238E27FC236}">
              <a16:creationId xmlns:a16="http://schemas.microsoft.com/office/drawing/2014/main" id="{BE3D9C12-814B-4F87-8DA4-B79A12E171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1897380</xdr:colOff>
      <xdr:row>16</xdr:row>
      <xdr:rowOff>95250</xdr:rowOff>
    </xdr:from>
    <xdr:to>
      <xdr:col>3</xdr:col>
      <xdr:colOff>512445</xdr:colOff>
      <xdr:row>31</xdr:row>
      <xdr:rowOff>123825</xdr:rowOff>
    </xdr:to>
    <xdr:graphicFrame macro="">
      <xdr:nvGraphicFramePr>
        <xdr:cNvPr id="3" name="Chart 2">
          <a:extLst>
            <a:ext uri="{FF2B5EF4-FFF2-40B4-BE49-F238E27FC236}">
              <a16:creationId xmlns:a16="http://schemas.microsoft.com/office/drawing/2014/main" id="{E136B458-EE8B-4A96-A267-2B1BAD4A7C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125730</xdr:colOff>
      <xdr:row>16</xdr:row>
      <xdr:rowOff>38100</xdr:rowOff>
    </xdr:from>
    <xdr:to>
      <xdr:col>2</xdr:col>
      <xdr:colOff>1567815</xdr:colOff>
      <xdr:row>31</xdr:row>
      <xdr:rowOff>68580</xdr:rowOff>
    </xdr:to>
    <xdr:graphicFrame macro="">
      <xdr:nvGraphicFramePr>
        <xdr:cNvPr id="4" name="Chart 3">
          <a:extLst>
            <a:ext uri="{FF2B5EF4-FFF2-40B4-BE49-F238E27FC236}">
              <a16:creationId xmlns:a16="http://schemas.microsoft.com/office/drawing/2014/main" id="{F815DABD-B6C5-415B-86DA-C8C83DDCE1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49</xdr:row>
      <xdr:rowOff>0</xdr:rowOff>
    </xdr:from>
    <xdr:to>
      <xdr:col>7</xdr:col>
      <xdr:colOff>461963</xdr:colOff>
      <xdr:row>52</xdr:row>
      <xdr:rowOff>61546</xdr:rowOff>
    </xdr:to>
    <xdr:graphicFrame macro="">
      <xdr:nvGraphicFramePr>
        <xdr:cNvPr id="6" name="Chart 5">
          <a:extLst>
            <a:ext uri="{FF2B5EF4-FFF2-40B4-BE49-F238E27FC236}">
              <a16:creationId xmlns:a16="http://schemas.microsoft.com/office/drawing/2014/main" id="{F4976CDC-7674-4419-8D68-4994469B1A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0</xdr:colOff>
      <xdr:row>49</xdr:row>
      <xdr:rowOff>1</xdr:rowOff>
    </xdr:from>
    <xdr:to>
      <xdr:col>13</xdr:col>
      <xdr:colOff>261938</xdr:colOff>
      <xdr:row>52</xdr:row>
      <xdr:rowOff>47626</xdr:rowOff>
    </xdr:to>
    <xdr:graphicFrame macro="">
      <xdr:nvGraphicFramePr>
        <xdr:cNvPr id="8" name="Chart 7">
          <a:extLst>
            <a:ext uri="{FF2B5EF4-FFF2-40B4-BE49-F238E27FC236}">
              <a16:creationId xmlns:a16="http://schemas.microsoft.com/office/drawing/2014/main" id="{E324085D-E349-481A-8989-5C2EF8B666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0</xdr:colOff>
      <xdr:row>49</xdr:row>
      <xdr:rowOff>0</xdr:rowOff>
    </xdr:from>
    <xdr:to>
      <xdr:col>24</xdr:col>
      <xdr:colOff>4762</xdr:colOff>
      <xdr:row>51</xdr:row>
      <xdr:rowOff>171450</xdr:rowOff>
    </xdr:to>
    <xdr:graphicFrame macro="">
      <xdr:nvGraphicFramePr>
        <xdr:cNvPr id="10" name="Chart 9">
          <a:extLst>
            <a:ext uri="{FF2B5EF4-FFF2-40B4-BE49-F238E27FC236}">
              <a16:creationId xmlns:a16="http://schemas.microsoft.com/office/drawing/2014/main" id="{F685BCE7-566D-4EF6-9DD8-A15A21B91B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75">
  <rv s="0">
    <fb>44256</fb>
    <v>0</v>
  </rv>
  <rv s="0">
    <fb>489.15</fb>
    <v>1</v>
  </rv>
  <rv s="0">
    <fb>14690.7</fb>
    <v>1</v>
  </rv>
  <rv s="0">
    <fb>44287</fb>
    <v>0</v>
  </rv>
  <rv s="0">
    <fb>624.25</fb>
    <v>1</v>
  </rv>
  <rv s="0">
    <fb>14631.1</fb>
    <v>1</v>
  </rv>
  <rv s="0">
    <fb>44317</fb>
    <v>0</v>
  </rv>
  <rv s="0">
    <fb>754.25</fb>
    <v>1</v>
  </rv>
  <rv s="0">
    <fb>15582.8</fb>
    <v>1</v>
  </rv>
  <rv s="0">
    <fb>44348</fb>
    <v>0</v>
  </rv>
  <rv s="0">
    <fb>760</fb>
    <v>1</v>
  </rv>
  <rv s="0">
    <fb>15721.5</fb>
    <v>1</v>
  </rv>
  <rv s="0">
    <fb>44378</fb>
    <v>0</v>
  </rv>
  <rv s="0">
    <fb>726.4</fb>
    <v>1</v>
  </rv>
  <rv s="0">
    <fb>15763.05</fb>
    <v>1</v>
  </rv>
  <rv s="0">
    <fb>44409</fb>
    <v>0</v>
  </rv>
  <rv s="0">
    <fb>761.6</fb>
    <v>1</v>
  </rv>
  <rv s="0">
    <fb>17132.2</fb>
    <v>1</v>
  </rv>
  <rv s="0">
    <fb>44440</fb>
    <v>0</v>
  </rv>
  <rv s="0">
    <fb>803.95</fb>
    <v>1</v>
  </rv>
  <rv s="0">
    <fb>17618.150000000001</fb>
    <v>1</v>
  </rv>
  <rv s="0">
    <fb>44470</fb>
    <v>0</v>
  </rv>
  <rv s="0">
    <fb>802.85</fb>
    <v>1</v>
  </rv>
  <rv s="0">
    <fb>17671.650000000001</fb>
    <v>1</v>
  </rv>
  <rv s="0">
    <fb>44501</fb>
    <v>0</v>
  </rv>
  <rv s="0">
    <fb>789.15</fb>
    <v>1</v>
  </rv>
  <rv s="0">
    <fb>16983.2</fb>
    <v>1</v>
  </rv>
  <rv s="0">
    <fb>44531</fb>
    <v>0</v>
  </rv>
  <rv s="0">
    <fb>990.75</fb>
    <v>1</v>
  </rv>
  <rv s="0">
    <fb>17354.05</fb>
    <v>1</v>
  </rv>
  <rv s="0">
    <fb>44562</fb>
    <v>0</v>
  </rv>
  <rv s="0">
    <fb>963.5</fb>
    <v>1</v>
  </rv>
  <rv s="0">
    <fb>17339.849999999999</fb>
    <v>1</v>
  </rv>
  <rv s="0">
    <fb>44593</fb>
    <v>0</v>
  </rv>
  <rv s="0">
    <fb>837.05</fb>
    <v>1</v>
  </rv>
  <rv s="0">
    <fb>16793.900000000001</fb>
    <v>1</v>
  </rv>
  <rv s="0">
    <fb>44621</fb>
    <v>0</v>
  </rv>
  <rv s="0">
    <fb>824.45</fb>
    <v>1</v>
  </rv>
  <rv s="0">
    <fb>17464.75</fb>
    <v>1</v>
  </rv>
  <rv s="0">
    <fb>44652</fb>
    <v>0</v>
  </rv>
  <rv s="0">
    <fb>828.6</fb>
    <v>1</v>
  </rv>
  <rv s="0">
    <fb>17102.55</fb>
    <v>1</v>
  </rv>
  <rv s="0">
    <fb>44682</fb>
    <v>0</v>
  </rv>
  <rv s="0">
    <fb>687.65</fb>
    <v>1</v>
  </rv>
  <rv s="0">
    <fb>16584.55</fb>
    <v>1</v>
  </rv>
  <rv s="0">
    <fb>44713</fb>
    <v>0</v>
  </rv>
  <rv s="0">
    <fb>610.1</fb>
    <v>1</v>
  </rv>
  <rv s="0">
    <fb>15780.25</fb>
    <v>1</v>
  </rv>
  <rv s="0">
    <fb>44743</fb>
    <v>0</v>
  </rv>
  <rv s="0">
    <fb>796.75</fb>
    <v>1</v>
  </rv>
  <rv s="0">
    <fb>17158.25</fb>
    <v>1</v>
  </rv>
  <rv s="0">
    <fb>44774</fb>
    <v>0</v>
  </rv>
  <rv s="0">
    <fb>777</fb>
    <v>1</v>
  </rv>
  <rv s="0">
    <fb>17759.3</fb>
    <v>1</v>
  </rv>
  <rv s="0">
    <fb>44805</fb>
    <v>0</v>
  </rv>
  <rv s="0">
    <fb>751.15</fb>
    <v>1</v>
  </rv>
  <rv s="0">
    <fb>17094.349999999999</fb>
    <v>1</v>
  </rv>
  <rv s="0">
    <fb>44835</fb>
    <v>0</v>
  </rv>
  <rv s="0">
    <fb>759.95</fb>
    <v>1</v>
  </rv>
  <rv s="0">
    <fb>18012.2</fb>
    <v>1</v>
  </rv>
  <rv s="0">
    <fb>44866</fb>
    <v>0</v>
  </rv>
  <rv s="0">
    <fb>719.05</fb>
    <v>1</v>
  </rv>
  <rv s="0">
    <fb>18758.349999999999</fb>
    <v>1</v>
  </rv>
  <rv s="0">
    <fb>44896</fb>
    <v>0</v>
  </rv>
  <rv s="0">
    <fb>679.45</fb>
    <v>1</v>
  </rv>
  <rv s="0">
    <fb>18105.3</fb>
    <v>1</v>
  </rv>
  <rv s="0">
    <fb>44927</fb>
    <v>0</v>
  </rv>
  <rv s="0">
    <fb>593.6</fb>
    <v>1</v>
  </rv>
  <rv s="0">
    <fb>17662.150000000001</fb>
    <v>1</v>
  </rv>
  <rv s="0">
    <fb>44958</fb>
    <v>0</v>
  </rv>
  <rv s="0">
    <fb>645.15</fb>
    <v>1</v>
  </rv>
  <rv s="0">
    <fb>17303.95</fb>
    <v>1</v>
  </rv>
  <rv s="0">
    <fb>44986</fb>
    <v>0</v>
  </rv>
  <rv s="0">
    <fb>865.35</fb>
    <v>1</v>
  </rv>
  <rv s="0">
    <fb>17359.75</fb>
    <v>1</v>
  </rv>
  <rv s="0">
    <fb>45017</fb>
    <v>0</v>
  </rv>
  <rv s="0">
    <fb>1129.3</fb>
    <v>1</v>
  </rv>
  <rv s="0">
    <fb>18065</fb>
    <v>1</v>
  </rv>
  <rv s="0">
    <fb>45047</fb>
    <v>0</v>
  </rv>
  <rv s="0">
    <fb>1166</fb>
    <v>1</v>
  </rv>
  <rv s="0">
    <fb>18534.400000000001</fb>
    <v>1</v>
  </rv>
  <rv s="0">
    <fb>45078</fb>
    <v>0</v>
  </rv>
  <rv s="0">
    <fb>1030</fb>
    <v>1</v>
  </rv>
  <rv s="0">
    <fb>19189.05</fb>
    <v>1</v>
  </rv>
  <rv s="0">
    <fb>45108</fb>
    <v>0</v>
  </rv>
  <rv s="0">
    <fb>974.9</fb>
    <v>1</v>
  </rv>
  <rv s="0">
    <fb>19753.8</fb>
    <v>1</v>
  </rv>
  <rv s="0">
    <fb>45139</fb>
    <v>0</v>
  </rv>
  <rv s="0">
    <fb>1004.95</fb>
    <v>1</v>
  </rv>
  <rv s="0">
    <fb>19253.8</fb>
    <v>1</v>
  </rv>
  <rv s="0">
    <fb>45170</fb>
    <v>0</v>
  </rv>
  <rv s="0">
    <fb>884.85</fb>
    <v>1</v>
  </rv>
  <rv s="0">
    <fb>19638.3</fb>
    <v>1</v>
  </rv>
  <rv s="0">
    <fb>45200</fb>
    <v>0</v>
  </rv>
  <rv s="0">
    <fb>883.55</fb>
    <v>1</v>
  </rv>
  <rv s="0">
    <fb>19079.599999999999</fb>
    <v>1</v>
  </rv>
  <rv s="0">
    <fb>45231</fb>
    <v>0</v>
  </rv>
  <rv s="0">
    <fb>986.6</fb>
    <v>1</v>
  </rv>
  <rv s="0">
    <fb>20133.150000000001</fb>
    <v>1</v>
  </rv>
  <rv s="0">
    <fb>45261</fb>
    <v>0</v>
  </rv>
  <rv s="0">
    <fb>1052.05</fb>
    <v>1</v>
  </rv>
  <rv s="0">
    <fb>21731.4</fb>
    <v>1</v>
  </rv>
  <rv s="0">
    <fb>45292</fb>
    <v>0</v>
  </rv>
  <rv s="0">
    <fb>949.3</fb>
    <v>1</v>
  </rv>
  <rv s="0">
    <fb>21725.7</fb>
    <v>1</v>
  </rv>
  <rv s="0">
    <fb>45323</fb>
    <v>0</v>
  </rv>
  <rv s="0">
    <fb>956.3</fb>
    <v>1</v>
  </rv>
  <rv s="0">
    <fb>21982.799999999999</fb>
    <v>1</v>
  </rv>
  <rv s="0">
    <fb>45352</fb>
    <v>0</v>
  </rv>
  <rv s="0">
    <fb>870.45</fb>
    <v>1</v>
  </rv>
  <rv s="0">
    <fb>22326.9</fb>
    <v>1</v>
  </rv>
  <rv s="0">
    <fb>45383</fb>
    <v>0</v>
  </rv>
  <rv s="0">
    <fb>832.55</fb>
    <v>1</v>
  </rv>
  <rv s="0">
    <fb>22604.85</fb>
    <v>1</v>
  </rv>
  <rv s="0">
    <fb>45413</fb>
    <v>0</v>
  </rv>
  <rv s="0">
    <fb>762.65</fb>
    <v>1</v>
  </rv>
  <rv s="0">
    <fb>22530.7</fb>
    <v>1</v>
  </rv>
  <rv s="0">
    <fb>45444</fb>
    <v>0</v>
  </rv>
  <rv s="0">
    <fb>764.75</fb>
    <v>1</v>
  </rv>
  <rv s="0">
    <fb>24010.6</fb>
    <v>1</v>
  </rv>
  <rv s="0">
    <fb>45474</fb>
    <v>0</v>
  </rv>
  <rv s="0">
    <fb>783.95</fb>
    <v>1</v>
  </rv>
  <rv s="0">
    <fb>24951.15</fb>
    <v>1</v>
  </rv>
  <rv s="0">
    <fb>45505</fb>
    <v>0</v>
  </rv>
  <rv s="0">
    <fb>778.8</fb>
    <v>1</v>
  </rv>
  <rv s="0">
    <fb>25235.9</fb>
    <v>1</v>
  </rv>
  <rv s="0">
    <fb>45536</fb>
    <v>0</v>
  </rv>
  <rv s="0">
    <fb>736.95</fb>
    <v>1</v>
  </rv>
  <rv s="0">
    <fb>25810.85</fb>
    <v>1</v>
  </rv>
  <rv s="0">
    <fb>45566</fb>
    <v>0</v>
  </rv>
  <rv s="0">
    <fb>733.4</fb>
    <v>1</v>
  </rv>
  <rv s="0">
    <fb>24205.35</fb>
    <v>1</v>
  </rv>
  <rv s="0">
    <fb>45597</fb>
    <v>0</v>
  </rv>
  <rv s="0">
    <fb>723.3</fb>
    <v>1</v>
  </rv>
  <rv s="0">
    <fb>23559.05</fb>
    <v>1</v>
  </rv>
  <rv s="0">
    <fb>44279</fb>
    <v>0</v>
  </rv>
  <rv s="0">
    <fb>495.7</fb>
    <v>1</v>
  </rv>
  <rv s="0">
    <fb>44277</fb>
    <v>0</v>
  </rv>
  <rv s="0">
    <fb>14507.3</fb>
    <v>1</v>
  </rv>
  <rv s="0">
    <fb>44285</fb>
    <v>0</v>
  </rv>
  <rv s="0">
    <fb>516.95000000000005</fb>
    <v>1</v>
  </rv>
  <rv s="0">
    <fb>14867.35</fb>
    <v>1</v>
  </rv>
  <rv s="0">
    <fb>44291</fb>
    <v>0</v>
  </rv>
  <rv s="0">
    <fb>555.25</fb>
    <v>1</v>
  </rv>
  <rv s="0">
    <fb>14834.85</fb>
    <v>1</v>
  </rv>
  <rv s="0">
    <fb>44298</fb>
    <v>0</v>
  </rv>
  <rv s="0">
    <fb>579.95000000000005</fb>
    <v>1</v>
  </rv>
  <rv s="0">
    <fb>14617.85</fb>
    <v>1</v>
  </rv>
  <rv s="0">
    <fb>44305</fb>
    <v>0</v>
  </rv>
  <rv s="0">
    <fb>590</fb>
    <v>1</v>
  </rv>
  <rv s="0">
    <fb>14341.35</fb>
    <v>1</v>
  </rv>
  <rv s="0">
    <fb>44312</fb>
    <v>0</v>
  </rv>
  <rv s="0">
    <fb>44319</fb>
    <v>0</v>
  </rv>
  <rv s="0">
    <fb>721.1</fb>
    <v>1</v>
  </rv>
  <rv s="0">
    <fb>14823.15</fb>
    <v>1</v>
  </rv>
  <rv s="0">
    <fb>44326</fb>
    <v>0</v>
  </rv>
  <rv s="0">
    <fb>734.45</fb>
    <v>1</v>
  </rv>
  <rv s="0">
    <fb>14677.8</fb>
    <v>1</v>
  </rv>
  <rv s="0">
    <fb>44333</fb>
    <v>0</v>
  </rv>
  <rv s="0">
    <fb>769.4</fb>
    <v>1</v>
  </rv>
  <rv s="0">
    <fb>15175.3</fb>
    <v>1</v>
  </rv>
  <rv s="0">
    <fb>44340</fb>
    <v>0</v>
  </rv>
  <rv s="0">
    <fb>761.5</fb>
    <v>1</v>
  </rv>
  <rv s="0">
    <fb>15435.65</fb>
    <v>1</v>
  </rv>
  <rv s="0">
    <fb>44347</fb>
    <v>0</v>
  </rv>
  <rv s="0">
    <fb>769.25</fb>
    <v>1</v>
  </rv>
  <rv s="0">
    <fb>15670.25</fb>
    <v>1</v>
  </rv>
  <rv s="0">
    <fb>44354</fb>
    <v>0</v>
  </rv>
  <rv s="0">
    <fb>777.65</fb>
    <v>1</v>
  </rv>
  <rv s="0">
    <fb>15799.35</fb>
    <v>1</v>
  </rv>
  <rv s="0">
    <fb>44361</fb>
    <v>0</v>
  </rv>
  <rv s="0">
    <fb>733.2</fb>
    <v>1</v>
  </rv>
  <rv s="0">
    <fb>15683.35</fb>
    <v>1</v>
  </rv>
  <rv s="0">
    <fb>44368</fb>
    <v>0</v>
  </rv>
  <rv s="0">
    <fb>745.25</fb>
    <v>1</v>
  </rv>
  <rv s="0">
    <fb>15860.35</fb>
    <v>1</v>
  </rv>
  <rv s="0">
    <fb>44375</fb>
    <v>0</v>
  </rv>
  <rv s="0">
    <fb>757.95</fb>
    <v>1</v>
  </rv>
  <rv s="0">
    <fb>15722.2</fb>
    <v>1</v>
  </rv>
  <rv s="0">
    <fb>44382</fb>
    <v>0</v>
  </rv>
  <rv s="0">
    <fb>812.45</fb>
    <v>1</v>
  </rv>
  <rv s="0">
    <fb>15689.8</fb>
    <v>1</v>
  </rv>
  <rv s="0">
    <fb>44389</fb>
    <v>0</v>
  </rv>
  <rv s="0">
    <fb>814.35</fb>
    <v>1</v>
  </rv>
  <rv s="0">
    <fb>15923.4</fb>
    <v>1</v>
  </rv>
  <rv s="0">
    <fb>44396</fb>
    <v>0</v>
  </rv>
  <rv s="0">
    <fb>766.3</fb>
    <v>1</v>
  </rv>
  <rv s="0">
    <fb>15856.05</fb>
    <v>1</v>
  </rv>
  <rv s="0">
    <fb>44403</fb>
    <v>0</v>
  </rv>
  <rv s="0">
    <fb>44410</fb>
    <v>0</v>
  </rv>
  <rv s="0">
    <fb>712.4</fb>
    <v>1</v>
  </rv>
  <rv s="0">
    <fb>16238.2</fb>
    <v>1</v>
  </rv>
  <rv s="0">
    <fb>44417</fb>
    <v>0</v>
  </rv>
  <rv s="0">
    <fb>754.15</fb>
    <v>1</v>
  </rv>
  <rv s="0">
    <fb>16529.099999999999</fb>
    <v>1</v>
  </rv>
  <rv s="0">
    <fb>44424</fb>
    <v>0</v>
  </rv>
  <rv s="0">
    <fb>730.05</fb>
    <v>1</v>
  </rv>
  <rv s="0">
    <fb>16450.5</fb>
    <v>1</v>
  </rv>
  <rv s="0">
    <fb>44431</fb>
    <v>0</v>
  </rv>
  <rv s="0">
    <fb>736.9</fb>
    <v>1</v>
  </rv>
  <rv s="0">
    <fb>44432</fb>
    <v>0</v>
  </rv>
  <rv s="0">
    <fb>16705.2</fb>
    <v>1</v>
  </rv>
  <rv s="0">
    <fb>44438</fb>
    <v>0</v>
  </rv>
  <rv s="0">
    <fb>754.7</fb>
    <v>1</v>
  </rv>
  <rv s="0">
    <fb>17323.599999999999</fb>
    <v>1</v>
  </rv>
  <rv s="0">
    <fb>44445</fb>
    <v>0</v>
  </rv>
  <rv s="0">
    <fb>751.4</fb>
    <v>1</v>
  </rv>
  <rv s="0">
    <fb>17369.25</fb>
    <v>1</v>
  </rv>
  <rv s="0">
    <fb>44452</fb>
    <v>0</v>
  </rv>
  <rv s="0">
    <fb>761</fb>
    <v>1</v>
  </rv>
  <rv s="0">
    <fb>17585.150000000001</fb>
    <v>1</v>
  </rv>
  <rv s="0">
    <fb>44459</fb>
    <v>0</v>
  </rv>
  <rv s="0">
    <fb>758.85</fb>
    <v>1</v>
  </rv>
  <rv s="0">
    <fb>17853.2</fb>
    <v>1</v>
  </rv>
  <rv s="0">
    <fb>44466</fb>
    <v>0</v>
  </rv>
  <rv s="0">
    <fb>781.35</fb>
    <v>1</v>
  </rv>
  <rv s="0">
    <fb>17532.05</fb>
    <v>1</v>
  </rv>
  <rv s="0">
    <fb>44473</fb>
    <v>0</v>
  </rv>
  <rv s="0">
    <fb>784.2</fb>
    <v>1</v>
  </rv>
  <rv s="0">
    <fb>17895.2</fb>
    <v>1</v>
  </rv>
  <rv s="0">
    <fb>44480</fb>
    <v>0</v>
  </rv>
  <rv s="0">
    <fb>813.3</fb>
    <v>1</v>
  </rv>
  <rv s="0">
    <fb>18338.55</fb>
    <v>1</v>
  </rv>
  <rv s="0">
    <fb>44487</fb>
    <v>0</v>
  </rv>
  <rv s="0">
    <fb>802.35</fb>
    <v>1</v>
  </rv>
  <rv s="0">
    <fb>18114.900000000001</fb>
    <v>1</v>
  </rv>
  <rv s="0">
    <fb>44494</fb>
    <v>0</v>
  </rv>
  <rv s="0">
    <fb>805.05</fb>
    <v>1</v>
  </rv>
  <rv s="0">
    <fb>17916.8</fb>
    <v>1</v>
  </rv>
  <rv s="0">
    <fb>44508</fb>
    <v>0</v>
  </rv>
  <rv s="0">
    <fb>820.35</fb>
    <v>1</v>
  </rv>
  <rv s="0">
    <fb>18102.75</fb>
    <v>1</v>
  </rv>
  <rv s="0">
    <fb>44515</fb>
    <v>0</v>
  </rv>
  <rv s="0">
    <fb>815.05</fb>
    <v>1</v>
  </rv>
  <rv s="0">
    <fb>17764.8</fb>
    <v>1</v>
  </rv>
  <rv s="0">
    <fb>44522</fb>
    <v>0</v>
  </rv>
  <rv s="0">
    <fb>790.8</fb>
    <v>1</v>
  </rv>
  <rv s="0">
    <fb>17026.45</fb>
    <v>1</v>
  </rv>
  <rv s="0">
    <fb>44529</fb>
    <v>0</v>
  </rv>
  <rv s="0">
    <fb>800.55</fb>
    <v>1</v>
  </rv>
  <rv s="0">
    <fb>17196.7</fb>
    <v>1</v>
  </rv>
  <rv s="0">
    <fb>44536</fb>
    <v>0</v>
  </rv>
  <rv s="0">
    <fb>823.05</fb>
    <v>1</v>
  </rv>
  <rv s="0">
    <fb>17511.3</fb>
    <v>1</v>
  </rv>
  <rv s="0">
    <fb>44543</fb>
    <v>0</v>
  </rv>
  <rv s="0">
    <fb>843.4</fb>
    <v>1</v>
  </rv>
  <rv s="0">
    <fb>16985.2</fb>
    <v>1</v>
  </rv>
  <rv s="0">
    <fb>44550</fb>
    <v>0</v>
  </rv>
  <rv s="0">
    <fb>904.95</fb>
    <v>1</v>
  </rv>
  <rv s="0">
    <fb>17003.75</fb>
    <v>1</v>
  </rv>
  <rv s="0">
    <fb>44557</fb>
    <v>0</v>
  </rv>
  <rv s="0">
    <fb>44564</fb>
    <v>0</v>
  </rv>
  <rv s="0">
    <fb>1025.75</fb>
    <v>1</v>
  </rv>
  <rv s="0">
    <fb>17812.7</fb>
    <v>1</v>
  </rv>
  <rv s="0">
    <fb>44571</fb>
    <v>0</v>
  </rv>
  <rv s="0">
    <fb>1019.35</fb>
    <v>1</v>
  </rv>
  <rv s="0">
    <fb>18255.75</fb>
    <v>1</v>
  </rv>
  <rv s="0">
    <fb>44578</fb>
    <v>0</v>
  </rv>
  <rv s="0">
    <fb>1003.95</fb>
    <v>1</v>
  </rv>
  <rv s="0">
    <fb>17617.150000000001</fb>
    <v>1</v>
  </rv>
  <rv s="0">
    <fb>44585</fb>
    <v>0</v>
  </rv>
  <rv s="0">
    <fb>977.1</fb>
    <v>1</v>
  </rv>
  <rv s="0">
    <fb>17101.95</fb>
    <v>1</v>
  </rv>
  <rv s="0">
    <fb>44592</fb>
    <v>0</v>
  </rv>
  <rv s="0">
    <fb>1022.8</fb>
    <v>1</v>
  </rv>
  <rv s="0">
    <fb>17516.3</fb>
    <v>1</v>
  </rv>
  <rv s="0">
    <fb>44599</fb>
    <v>0</v>
  </rv>
  <rv s="0">
    <fb>970.75</fb>
    <v>1</v>
  </rv>
  <rv s="0">
    <fb>17374.75</fb>
    <v>1</v>
  </rv>
  <rv s="0">
    <fb>44606</fb>
    <v>0</v>
  </rv>
  <rv s="0">
    <fb>916.35</fb>
    <v>1</v>
  </rv>
  <rv s="0">
    <fb>17276.3</fb>
    <v>1</v>
  </rv>
  <rv s="0">
    <fb>44613</fb>
    <v>0</v>
  </rv>
  <rv s="0">
    <fb>860.9</fb>
    <v>1</v>
  </rv>
  <rv s="0">
    <fb>16658.400000000001</fb>
    <v>1</v>
  </rv>
  <rv s="0">
    <fb>44620</fb>
    <v>0</v>
  </rv>
  <rv s="0">
    <fb>801.85</fb>
    <v>1</v>
  </rv>
  <rv s="0">
    <fb>16245.35</fb>
    <v>1</v>
  </rv>
  <rv s="0">
    <fb>44627</fb>
    <v>0</v>
  </rv>
  <rv s="0">
    <fb>869</fb>
    <v>1</v>
  </rv>
  <rv s="0">
    <fb>16630.45</fb>
    <v>1</v>
  </rv>
  <rv s="0">
    <fb>44634</fb>
    <v>0</v>
  </rv>
  <rv s="0">
    <fb>882.25</fb>
    <v>1</v>
  </rv>
  <rv s="0">
    <fb>17287.05</fb>
    <v>1</v>
  </rv>
  <rv s="0">
    <fb>44641</fb>
    <v>0</v>
  </rv>
  <rv s="0">
    <fb>867.5</fb>
    <v>1</v>
  </rv>
  <rv s="0">
    <fb>17153</fb>
    <v>1</v>
  </rv>
  <rv s="0">
    <fb>44648</fb>
    <v>0</v>
  </rv>
  <rv s="0">
    <fb>831.2</fb>
    <v>1</v>
  </rv>
  <rv s="0">
    <fb>17670.45</fb>
    <v>1</v>
  </rv>
  <rv s="0">
    <fb>44655</fb>
    <v>0</v>
  </rv>
  <rv s="0">
    <fb>840.05</fb>
    <v>1</v>
  </rv>
  <rv s="0">
    <fb>17784.349999999999</fb>
    <v>1</v>
  </rv>
  <rv s="0">
    <fb>44662</fb>
    <v>0</v>
  </rv>
  <rv s="0">
    <fb>871.2</fb>
    <v>1</v>
  </rv>
  <rv s="0">
    <fb>17475.650000000001</fb>
    <v>1</v>
  </rv>
  <rv s="0">
    <fb>44669</fb>
    <v>0</v>
  </rv>
  <rv s="0">
    <fb>854.25</fb>
    <v>1</v>
  </rv>
  <rv s="0">
    <fb>17171.95</fb>
    <v>1</v>
  </rv>
  <rv s="0">
    <fb>44676</fb>
    <v>0</v>
  </rv>
  <rv s="0">
    <fb>44683</fb>
    <v>0</v>
  </rv>
  <rv s="0">
    <fb>825.05</fb>
    <v>1</v>
  </rv>
  <rv s="0">
    <fb>16411.25</fb>
    <v>1</v>
  </rv>
  <rv s="0">
    <fb>44690</fb>
    <v>0</v>
  </rv>
  <rv s="0">
    <fb>801.25</fb>
    <v>1</v>
  </rv>
  <rv s="0">
    <fb>15782.15</fb>
    <v>1</v>
  </rv>
  <rv s="0">
    <fb>44697</fb>
    <v>0</v>
  </rv>
  <rv s="0">
    <fb>756.25</fb>
    <v>1</v>
  </rv>
  <rv s="0">
    <fb>16266.15</fb>
    <v>1</v>
  </rv>
  <rv s="0">
    <fb>44704</fb>
    <v>0</v>
  </rv>
  <rv s="0">
    <fb>697</fb>
    <v>1</v>
  </rv>
  <rv s="0">
    <fb>16352.45</fb>
    <v>1</v>
  </rv>
  <rv s="0">
    <fb>44711</fb>
    <v>0</v>
  </rv>
  <rv s="0">
    <fb>681.95</fb>
    <v>1</v>
  </rv>
  <rv s="0">
    <fb>16584.3</fb>
    <v>1</v>
  </rv>
  <rv s="0">
    <fb>44718</fb>
    <v>0</v>
  </rv>
  <rv s="0">
    <fb>622.54999999999995</fb>
    <v>1</v>
  </rv>
  <rv s="0">
    <fb>16201.8</fb>
    <v>1</v>
  </rv>
  <rv s="0">
    <fb>44725</fb>
    <v>0</v>
  </rv>
  <rv s="0">
    <fb>560.54999999999995</fb>
    <v>1</v>
  </rv>
  <rv s="0">
    <fb>15293.5</fb>
    <v>1</v>
  </rv>
  <rv s="0">
    <fb>44732</fb>
    <v>0</v>
  </rv>
  <rv s="0">
    <fb>617.15</fb>
    <v>1</v>
  </rv>
  <rv s="0">
    <fb>15699.25</fb>
    <v>1</v>
  </rv>
  <rv s="0">
    <fb>44739</fb>
    <v>0</v>
  </rv>
  <rv s="0">
    <fb>621.65</fb>
    <v>1</v>
  </rv>
  <rv s="0">
    <fb>15752.05</fb>
    <v>1</v>
  </rv>
  <rv s="0">
    <fb>44746</fb>
    <v>0</v>
  </rv>
  <rv s="0">
    <fb>621.9</fb>
    <v>1</v>
  </rv>
  <rv s="0">
    <fb>16220.6</fb>
    <v>1</v>
  </rv>
  <rv s="0">
    <fb>44753</fb>
    <v>0</v>
  </rv>
  <rv s="0">
    <fb>733.15</fb>
    <v>1</v>
  </rv>
  <rv s="0">
    <fb>16049.2</fb>
    <v>1</v>
  </rv>
  <rv s="0">
    <fb>44760</fb>
    <v>0</v>
  </rv>
  <rv s="0">
    <fb>793.25</fb>
    <v>1</v>
  </rv>
  <rv s="0">
    <fb>16719.45</fb>
    <v>1</v>
  </rv>
  <rv s="0">
    <fb>44767</fb>
    <v>0</v>
  </rv>
  <rv s="0">
    <fb>767.3</fb>
    <v>1</v>
  </rv>
  <rv s="0">
    <fb>17397.5</fb>
    <v>1</v>
  </rv>
  <rv s="0">
    <fb>44781</fb>
    <v>0</v>
  </rv>
  <rv s="0">
    <fb>750.7</fb>
    <v>1</v>
  </rv>
  <rv s="0">
    <fb>17698.150000000001</fb>
    <v>1</v>
  </rv>
  <rv s="0">
    <fb>44789</fb>
    <v>0</v>
  </rv>
  <rv s="0">
    <fb>751.6</fb>
    <v>1</v>
  </rv>
  <rv s="0">
    <fb>17758.45</fb>
    <v>1</v>
  </rv>
  <rv s="0">
    <fb>44795</fb>
    <v>0</v>
  </rv>
  <rv s="0">
    <fb>764.85</fb>
    <v>1</v>
  </rv>
  <rv s="0">
    <fb>17558.900000000001</fb>
    <v>1</v>
  </rv>
  <rv s="0">
    <fb>44802</fb>
    <v>0</v>
  </rv>
  <rv s="0">
    <fb>764.35</fb>
    <v>1</v>
  </rv>
  <rv s="0">
    <fb>17539.45</fb>
    <v>1</v>
  </rv>
  <rv s="0">
    <fb>44809</fb>
    <v>0</v>
  </rv>
  <rv s="0">
    <fb>786.55</fb>
    <v>1</v>
  </rv>
  <rv s="0">
    <fb>17833.349999999999</fb>
    <v>1</v>
  </rv>
  <rv s="0">
    <fb>44816</fb>
    <v>0</v>
  </rv>
  <rv s="0">
    <fb>756.05</fb>
    <v>1</v>
  </rv>
  <rv s="0">
    <fb>17530.849999999999</fb>
    <v>1</v>
  </rv>
  <rv s="0">
    <fb>44823</fb>
    <v>0</v>
  </rv>
  <rv s="0">
    <fb>771.65</fb>
    <v>1</v>
  </rv>
  <rv s="0">
    <fb>17327.349999999999</fb>
    <v>1</v>
  </rv>
  <rv s="0">
    <fb>44830</fb>
    <v>0</v>
  </rv>
  <rv s="0">
    <fb>44837</fb>
    <v>0</v>
  </rv>
  <rv s="0">
    <fb>734.9</fb>
    <v>1</v>
  </rv>
  <rv s="0">
    <fb>17331.8</fb>
    <v>1</v>
  </rv>
  <rv s="0">
    <fb>44844</fb>
    <v>0</v>
  </rv>
  <rv s="0">
    <fb>725.5</fb>
    <v>1</v>
  </rv>
  <rv s="0">
    <fb>17185.7</fb>
    <v>1</v>
  </rv>
  <rv s="0">
    <fb>44851</fb>
    <v>0</v>
  </rv>
  <rv s="0">
    <fb>752.3</fb>
    <v>1</v>
  </rv>
  <rv s="0">
    <fb>17576.3</fb>
    <v>1</v>
  </rv>
  <rv s="0">
    <fb>44858</fb>
    <v>0</v>
  </rv>
  <rv s="0">
    <fb>780.1</fb>
    <v>1</v>
  </rv>
  <rv s="0">
    <fb>17786.8</fb>
    <v>1</v>
  </rv>
  <rv s="0">
    <fb>44865</fb>
    <v>0</v>
  </rv>
  <rv s="0">
    <fb>749</fb>
    <v>1</v>
  </rv>
  <rv s="0">
    <fb>18117.150000000001</fb>
    <v>1</v>
  </rv>
  <rv s="0">
    <fb>44872</fb>
    <v>0</v>
  </rv>
  <rv s="0">
    <fb>745.2</fb>
    <v>1</v>
  </rv>
  <rv s="0">
    <fb>18349.7</fb>
    <v>1</v>
  </rv>
  <rv s="0">
    <fb>44879</fb>
    <v>0</v>
  </rv>
  <rv s="0">
    <fb>734.6</fb>
    <v>1</v>
  </rv>
  <rv s="0">
    <fb>18307.650000000001</fb>
    <v>1</v>
  </rv>
  <rv s="0">
    <fb>44886</fb>
    <v>0</v>
  </rv>
  <rv s="0">
    <fb>726.7</fb>
    <v>1</v>
  </rv>
  <rv s="0">
    <fb>18512.75</fb>
    <v>1</v>
  </rv>
  <rv s="0">
    <fb>44893</fb>
    <v>0</v>
  </rv>
  <rv s="0">
    <fb>719.6</fb>
    <v>1</v>
  </rv>
  <rv s="0">
    <fb>18696.099999999999</fb>
    <v>1</v>
  </rv>
  <rv s="0">
    <fb>44900</fb>
    <v>0</v>
  </rv>
  <rv s="0">
    <fb>715.8</fb>
    <v>1</v>
  </rv>
  <rv s="0">
    <fb>18496.599999999999</fb>
    <v>1</v>
  </rv>
  <rv s="0">
    <fb>44907</fb>
    <v>0</v>
  </rv>
  <rv s="0">
    <fb>691.55</fb>
    <v>1</v>
  </rv>
  <rv s="0">
    <fb>18269</fb>
    <v>1</v>
  </rv>
  <rv s="0">
    <fb>44914</fb>
    <v>0</v>
  </rv>
  <rv s="0">
    <fb>659.9</fb>
    <v>1</v>
  </rv>
  <rv s="0">
    <fb>17806.8</fb>
    <v>1</v>
  </rv>
  <rv s="0">
    <fb>44921</fb>
    <v>0</v>
  </rv>
  <rv s="0">
    <fb>44928</fb>
    <v>0</v>
  </rv>
  <rv s="0">
    <fb>689.45</fb>
    <v>1</v>
  </rv>
  <rv s="0">
    <fb>17859.45</fb>
    <v>1</v>
  </rv>
  <rv s="0">
    <fb>44935</fb>
    <v>0</v>
  </rv>
  <rv s="0">
    <fb>673.85</fb>
    <v>1</v>
  </rv>
  <rv s="0">
    <fb>17956.599999999999</fb>
    <v>1</v>
  </rv>
  <rv s="0">
    <fb>44942</fb>
    <v>0</v>
  </rv>
  <rv s="0">
    <fb>649.5</fb>
    <v>1</v>
  </rv>
  <rv s="0">
    <fb>18027.650000000001</fb>
    <v>1</v>
  </rv>
  <rv s="0">
    <fb>44949</fb>
    <v>0</v>
  </rv>
  <rv s="0">
    <fb>596.5</fb>
    <v>1</v>
  </rv>
  <rv s="0">
    <fb>17604.349999999999</fb>
    <v>1</v>
  </rv>
  <rv s="0">
    <fb>44956</fb>
    <v>0</v>
  </rv>
  <rv s="0">
    <fb>577.04999999999995</fb>
    <v>1</v>
  </rv>
  <rv s="0">
    <fb>17854.05</fb>
    <v>1</v>
  </rv>
  <rv s="0">
    <fb>44963</fb>
    <v>0</v>
  </rv>
  <rv s="0">
    <fb>617.54999999999995</fb>
    <v>1</v>
  </rv>
  <rv s="0">
    <fb>17856.5</fb>
    <v>1</v>
  </rv>
  <rv s="0">
    <fb>44970</fb>
    <v>0</v>
  </rv>
  <rv s="0">
    <fb>624.54999999999995</fb>
    <v>1</v>
  </rv>
  <rv s="0">
    <fb>17944.2</fb>
    <v>1</v>
  </rv>
  <rv s="0">
    <fb>44977</fb>
    <v>0</v>
  </rv>
  <rv s="0">
    <fb>649.1</fb>
    <v>1</v>
  </rv>
  <rv s="0">
    <fb>17465.8</fb>
    <v>1</v>
  </rv>
  <rv s="0">
    <fb>44984</fb>
    <v>0</v>
  </rv>
  <rv s="0">
    <fb>736.05</fb>
    <v>1</v>
  </rv>
  <rv s="0">
    <fb>17594.349999999999</fb>
    <v>1</v>
  </rv>
  <rv s="0">
    <fb>44991</fb>
    <v>0</v>
  </rv>
  <rv s="0">
    <fb>747.15</fb>
    <v>1</v>
  </rv>
  <rv s="0">
    <fb>17412.900000000001</fb>
    <v>1</v>
  </rv>
  <rv s="0">
    <fb>44998</fb>
    <v>0</v>
  </rv>
  <rv s="0">
    <fb>749.15</fb>
    <v>1</v>
  </rv>
  <rv s="0">
    <fb>17100.05</fb>
    <v>1</v>
  </rv>
  <rv s="0">
    <fb>45005</fb>
    <v>0</v>
  </rv>
  <rv s="0">
    <fb>855</fb>
    <v>1</v>
  </rv>
  <rv s="0">
    <fb>16945.05</fb>
    <v>1</v>
  </rv>
  <rv s="0">
    <fb>45012</fb>
    <v>0</v>
  </rv>
  <rv s="0">
    <fb>45019</fb>
    <v>0</v>
  </rv>
  <rv s="0">
    <fb>949.2</fb>
    <v>1</v>
  </rv>
  <rv s="0">
    <fb>17599.150000000001</fb>
    <v>1</v>
  </rv>
  <rv s="0">
    <fb>45026</fb>
    <v>0</v>
  </rv>
  <rv s="0">
    <fb>989.05</fb>
    <v>1</v>
  </rv>
  <rv s="0">
    <fb>17828</fb>
    <v>1</v>
  </rv>
  <rv s="0">
    <fb>45033</fb>
    <v>0</v>
  </rv>
  <rv s="0">
    <fb>1059.8</fb>
    <v>1</v>
  </rv>
  <rv s="0">
    <fb>17624.05</fb>
    <v>1</v>
  </rv>
  <rv s="0">
    <fb>45040</fb>
    <v>0</v>
  </rv>
  <rv s="0">
    <fb>45048</fb>
    <v>0</v>
  </rv>
  <rv s="0">
    <fb>1132.55</fb>
    <v>1</v>
  </rv>
  <rv s="0">
    <fb>18069</fb>
    <v>1</v>
  </rv>
  <rv s="0">
    <fb>45054</fb>
    <v>0</v>
  </rv>
  <rv s="0">
    <fb>1166.95</fb>
    <v>1</v>
  </rv>
  <rv s="0">
    <fb>18314.8</fb>
    <v>1</v>
  </rv>
  <rv s="0">
    <fb>45061</fb>
    <v>0</v>
  </rv>
  <rv s="0">
    <fb>1197.7</fb>
    <v>1</v>
  </rv>
  <rv s="0">
    <fb>18203.400000000001</fb>
    <v>1</v>
  </rv>
  <rv s="0">
    <fb>45068</fb>
    <v>0</v>
  </rv>
  <rv s="0">
    <fb>1219.8</fb>
    <v>1</v>
  </rv>
  <rv s="0">
    <fb>18499.349999999999</fb>
    <v>1</v>
  </rv>
  <rv s="0">
    <fb>45075</fb>
    <v>0</v>
  </rv>
  <rv s="0">
    <fb>1118.3499999999999</fb>
    <v>1</v>
  </rv>
  <rv s="0">
    <fb>18534.099999999999</fb>
    <v>1</v>
  </rv>
  <rv s="0">
    <fb>45082</fb>
    <v>0</v>
  </rv>
  <rv s="0">
    <fb>1084.55</fb>
    <v>1</v>
  </rv>
  <rv s="0">
    <fb>18563.400000000001</fb>
    <v>1</v>
  </rv>
  <rv s="0">
    <fb>45089</fb>
    <v>0</v>
  </rv>
  <rv s="0">
    <fb>1083.5999999999999</fb>
    <v>1</v>
  </rv>
  <rv s="0">
    <fb>18826</fb>
    <v>1</v>
  </rv>
  <rv s="0">
    <fb>45096</fb>
    <v>0</v>
  </rv>
  <rv s="0">
    <fb>1037.55</fb>
    <v>1</v>
  </rv>
  <rv s="0">
    <fb>18665.5</fb>
    <v>1</v>
  </rv>
  <rv s="0">
    <fb>45103</fb>
    <v>0</v>
  </rv>
  <rv s="0">
    <fb>45110</fb>
    <v>0</v>
  </rv>
  <rv s="0">
    <fb>992.85</fb>
    <v>1</v>
  </rv>
  <rv s="0">
    <fb>19331.8</fb>
    <v>1</v>
  </rv>
  <rv s="0">
    <fb>45117</fb>
    <v>0</v>
  </rv>
  <rv s="0">
    <fb>1018.7</fb>
    <v>1</v>
  </rv>
  <rv s="0">
    <fb>19564.5</fb>
    <v>1</v>
  </rv>
  <rv s="0">
    <fb>45124</fb>
    <v>0</v>
  </rv>
  <rv s="0">
    <fb>979.7</fb>
    <v>1</v>
  </rv>
  <rv s="0">
    <fb>19745</fb>
    <v>1</v>
  </rv>
  <rv s="0">
    <fb>45131</fb>
    <v>0</v>
  </rv>
  <rv s="0">
    <fb>976.75</fb>
    <v>1</v>
  </rv>
  <rv s="0">
    <fb>19646.05</fb>
    <v>1</v>
  </rv>
  <rv s="0">
    <fb>45138</fb>
    <v>0</v>
  </rv>
  <rv s="0">
    <fb>930.15</fb>
    <v>1</v>
  </rv>
  <rv s="0">
    <fb>19517</fb>
    <v>1</v>
  </rv>
  <rv s="0">
    <fb>45145</fb>
    <v>0</v>
  </rv>
  <rv s="0">
    <fb>950.6</fb>
    <v>1</v>
  </rv>
  <rv s="0">
    <fb>19428.3</fb>
    <v>1</v>
  </rv>
  <rv s="0">
    <fb>45152</fb>
    <v>0</v>
  </rv>
  <rv s="0">
    <fb>943.3</fb>
    <v>1</v>
  </rv>
  <rv s="0">
    <fb>19310.150000000001</fb>
    <v>1</v>
  </rv>
  <rv s="0">
    <fb>45159</fb>
    <v>0</v>
  </rv>
  <rv s="0">
    <fb>1014.85</fb>
    <v>1</v>
  </rv>
  <rv s="0">
    <fb>19265.8</fb>
    <v>1</v>
  </rv>
  <rv s="0">
    <fb>45166</fb>
    <v>0</v>
  </rv>
  <rv s="0">
    <fb>1005.15</fb>
    <v>1</v>
  </rv>
  <rv s="0">
    <fb>19435.3</fb>
    <v>1</v>
  </rv>
  <rv s="0">
    <fb>45173</fb>
    <v>0</v>
  </rv>
  <rv s="0">
    <fb>984.3</fb>
    <v>1</v>
  </rv>
  <rv s="0">
    <fb>19819.95</fb>
    <v>1</v>
  </rv>
  <rv s="0">
    <fb>45180</fb>
    <v>0</v>
  </rv>
  <rv s="0">
    <fb>940.4</fb>
    <v>1</v>
  </rv>
  <rv s="0">
    <fb>20192.349999999999</fb>
    <v>1</v>
  </rv>
  <rv s="0">
    <fb>45187</fb>
    <v>0</v>
  </rv>
  <rv s="0">
    <fb>878.95</fb>
    <v>1</v>
  </rv>
  <rv s="0">
    <fb>19674.25</fb>
    <v>1</v>
  </rv>
  <rv s="0">
    <fb>45194</fb>
    <v>0</v>
  </rv>
  <rv s="0">
    <fb>45202</fb>
    <v>0</v>
  </rv>
  <rv s="0">
    <fb>891.05</fb>
    <v>1</v>
  </rv>
  <rv s="0">
    <fb>19653.5</fb>
    <v>1</v>
  </rv>
  <rv s="0">
    <fb>45208</fb>
    <v>0</v>
  </rv>
  <rv s="0">
    <fb>884.15</fb>
    <v>1</v>
  </rv>
  <rv s="0">
    <fb>19751.05</fb>
    <v>1</v>
  </rv>
  <rv s="0">
    <fb>45215</fb>
    <v>0</v>
  </rv>
  <rv s="0">
    <fb>851.25</fb>
    <v>1</v>
  </rv>
  <rv s="0">
    <fb>19542.650000000001</fb>
    <v>1</v>
  </rv>
  <rv s="0">
    <fb>45222</fb>
    <v>0</v>
  </rv>
  <rv s="0">
    <fb>851.8</fb>
    <v>1</v>
  </rv>
  <rv s="0">
    <fb>19047.25</fb>
    <v>1</v>
  </rv>
  <rv s="0">
    <fb>45229</fb>
    <v>0</v>
  </rv>
  <rv s="0">
    <fb>905.95</fb>
    <v>1</v>
  </rv>
  <rv s="0">
    <fb>19230.599999999999</fb>
    <v>1</v>
  </rv>
  <rv s="0">
    <fb>45236</fb>
    <v>0</v>
  </rv>
  <rv s="0">
    <fb>906.3</fb>
    <v>1</v>
  </rv>
  <rv s="0">
    <fb>19425.349999999999</fb>
    <v>1</v>
  </rv>
  <rv s="0">
    <fb>45242</fb>
    <v>0</v>
  </rv>
  <rv s="0">
    <fb>931.6</fb>
    <v>1</v>
  </rv>
  <rv s="0">
    <fb>19731.8</fb>
    <v>1</v>
  </rv>
  <rv s="0">
    <fb>45250</fb>
    <v>0</v>
  </rv>
  <rv s="0">
    <fb>949.95</fb>
    <v>1</v>
  </rv>
  <rv s="0">
    <fb>19794.7</fb>
    <v>1</v>
  </rv>
  <rv s="0">
    <fb>45258</fb>
    <v>0</v>
  </rv>
  <rv s="0">
    <fb>1013.8</fb>
    <v>1</v>
  </rv>
  <rv s="0">
    <fb>20267.900000000001</fb>
    <v>1</v>
  </rv>
  <rv s="0">
    <fb>45264</fb>
    <v>0</v>
  </rv>
  <rv s="0">
    <fb>1036.0999999999999</fb>
    <v>1</v>
  </rv>
  <rv s="0">
    <fb>20969.400000000001</fb>
    <v>1</v>
  </rv>
  <rv s="0">
    <fb>45271</fb>
    <v>0</v>
  </rv>
  <rv s="0">
    <fb>1040.6500000000001</fb>
    <v>1</v>
  </rv>
  <rv s="0">
    <fb>21456.65</fb>
    <v>1</v>
  </rv>
  <rv s="0">
    <fb>45278</fb>
    <v>0</v>
  </rv>
  <rv s="0">
    <fb>1008.5</fb>
    <v>1</v>
  </rv>
  <rv s="0">
    <fb>21349.4</fb>
    <v>1</v>
  </rv>
  <rv s="0">
    <fb>45286</fb>
    <v>0</v>
  </rv>
  <rv s="0">
    <fb>1070.8</fb>
    <v>1</v>
  </rv>
  <rv s="0">
    <fb>21710.799999999999</fb>
    <v>1</v>
  </rv>
  <rv s="0">
    <fb>45299</fb>
    <v>0</v>
  </rv>
  <rv s="0">
    <fb>959.65</fb>
    <v>1</v>
  </rv>
  <rv s="0">
    <fb>21894.55</fb>
    <v>1</v>
  </rv>
  <rv s="0">
    <fb>45306</fb>
    <v>0</v>
  </rv>
  <rv s="0">
    <fb>932.8</fb>
    <v>1</v>
  </rv>
  <rv s="0">
    <fb>21571.8</fb>
    <v>1</v>
  </rv>
  <rv s="0">
    <fb>45314</fb>
    <v>0</v>
  </rv>
  <rv s="0">
    <fb>964.5</fb>
    <v>1</v>
  </rv>
  <rv s="0">
    <fb>21352.6</fb>
    <v>1</v>
  </rv>
  <rv s="0">
    <fb>45320</fb>
    <v>0</v>
  </rv>
  <rv s="0">
    <fb>950.3</fb>
    <v>1</v>
  </rv>
  <rv s="0">
    <fb>21853.8</fb>
    <v>1</v>
  </rv>
  <rv s="0">
    <fb>45327</fb>
    <v>0</v>
  </rv>
  <rv s="0">
    <fb>922.5</fb>
    <v>1</v>
  </rv>
  <rv s="0">
    <fb>21782.5</fb>
    <v>1</v>
  </rv>
  <rv s="0">
    <fb>45334</fb>
    <v>0</v>
  </rv>
  <rv s="0">
    <fb>906.15</fb>
    <v>1</v>
  </rv>
  <rv s="0">
    <fb>22040.7</fb>
    <v>1</v>
  </rv>
  <rv s="0">
    <fb>45341</fb>
    <v>0</v>
  </rv>
  <rv s="0">
    <fb>940.45</fb>
    <v>1</v>
  </rv>
  <rv s="0">
    <fb>22212.7</fb>
    <v>1</v>
  </rv>
  <rv s="0">
    <fb>45348</fb>
    <v>0</v>
  </rv>
  <rv s="0">
    <fb>958.1</fb>
    <v>1</v>
  </rv>
  <rv s="0">
    <fb>22378.400000000001</fb>
    <v>1</v>
  </rv>
  <rv s="0">
    <fb>45355</fb>
    <v>0</v>
  </rv>
  <rv s="0">
    <fb>936.65</fb>
    <v>1</v>
  </rv>
  <rv s="0">
    <fb>22493.55</fb>
    <v>1</v>
  </rv>
  <rv s="0">
    <fb>45362</fb>
    <v>0</v>
  </rv>
  <rv s="0">
    <fb>910.05</fb>
    <v>1</v>
  </rv>
  <rv s="0">
    <fb>22023.35</fb>
    <v>1</v>
  </rv>
  <rv s="0">
    <fb>45369</fb>
    <v>0</v>
  </rv>
  <rv s="0">
    <fb>887.8</fb>
    <v>1</v>
  </rv>
  <rv s="0">
    <fb>22096.75</fb>
    <v>1</v>
  </rv>
  <rv s="0">
    <fb>45377</fb>
    <v>0</v>
  </rv>
  <rv s="0">
    <fb>893.2</fb>
    <v>1</v>
  </rv>
  <rv s="0">
    <fb>22513.7</fb>
    <v>1</v>
  </rv>
  <rv s="0">
    <fb>45390</fb>
    <v>0</v>
  </rv>
  <rv s="0">
    <fb>866.05</fb>
    <v>1</v>
  </rv>
  <rv s="0">
    <fb>22519.4</fb>
    <v>1</v>
  </rv>
  <rv s="0">
    <fb>45397</fb>
    <v>0</v>
  </rv>
  <rv s="0">
    <fb>880.1</fb>
    <v>1</v>
  </rv>
  <rv s="0">
    <fb>22147</fb>
    <v>1</v>
  </rv>
  <rv s="0">
    <fb>45404</fb>
    <v>0</v>
  </rv>
  <rv s="0">
    <fb>840.55</fb>
    <v>1</v>
  </rv>
  <rv s="0">
    <fb>22419.95</fb>
    <v>1</v>
  </rv>
  <rv s="0">
    <fb>45411</fb>
    <v>0</v>
  </rv>
  <rv s="0">
    <fb>834.65</fb>
    <v>1</v>
  </rv>
  <rv s="0">
    <fb>22475.85</fb>
    <v>1</v>
  </rv>
  <rv s="0">
    <fb>45418</fb>
    <v>0</v>
  </rv>
  <rv s="0">
    <fb>788.75</fb>
    <v>1</v>
  </rv>
  <rv s="0">
    <fb>22055.200000000001</fb>
    <v>1</v>
  </rv>
  <rv s="0">
    <fb>45425</fb>
    <v>0</v>
  </rv>
  <rv s="0">
    <fb>784.35</fb>
    <v>1</v>
  </rv>
  <rv s="0">
    <fb>22502</fb>
    <v>1</v>
  </rv>
  <rv s="0">
    <fb>45433</fb>
    <v>0</v>
  </rv>
  <rv s="0">
    <fb>762.9</fb>
    <v>1</v>
  </rv>
  <rv s="0">
    <fb>22957.1</fb>
    <v>1</v>
  </rv>
  <rv s="0">
    <fb>45439</fb>
    <v>0</v>
  </rv>
  <rv s="0">
    <fb>45446</fb>
    <v>0</v>
  </rv>
  <rv s="0">
    <fb>769.85</fb>
    <v>1</v>
  </rv>
  <rv s="0">
    <fb>23290.15</fb>
    <v>1</v>
  </rv>
  <rv s="0">
    <fb>45453</fb>
    <v>0</v>
  </rv>
  <rv s="0">
    <fb>788.1</fb>
    <v>1</v>
  </rv>
  <rv s="0">
    <fb>23465.599999999999</fb>
    <v>1</v>
  </rv>
  <rv s="0">
    <fb>45461</fb>
    <v>0</v>
  </rv>
  <rv s="0">
    <fb>778.75</fb>
    <v>1</v>
  </rv>
  <rv s="0">
    <fb>23501.1</fb>
    <v>1</v>
  </rv>
  <rv s="0">
    <fb>45467</fb>
    <v>0</v>
  </rv>
  <rv s="0">
    <fb>762.75</fb>
    <v>1</v>
  </rv>
  <rv s="0">
    <fb>24323.85</fb>
    <v>1</v>
  </rv>
  <rv s="0">
    <fb>45481</fb>
    <v>0</v>
  </rv>
  <rv s="0">
    <fb>751.45</fb>
    <v>1</v>
  </rv>
  <rv s="0">
    <fb>24502.15</fb>
    <v>1</v>
  </rv>
  <rv s="0">
    <fb>45488</fb>
    <v>0</v>
  </rv>
  <rv s="0">
    <fb>784.9</fb>
    <v>1</v>
  </rv>
  <rv s="0">
    <fb>24530.9</fb>
    <v>1</v>
  </rv>
  <rv s="0">
    <fb>45495</fb>
    <v>0</v>
  </rv>
  <rv s="0">
    <fb>782.9</fb>
    <v>1</v>
  </rv>
  <rv s="0">
    <fb>24834.85</fb>
    <v>1</v>
  </rv>
  <rv s="0">
    <fb>45502</fb>
    <v>0</v>
  </rv>
  <rv s="0">
    <fb>789.1</fb>
    <v>1</v>
  </rv>
  <rv s="0">
    <fb>24717.7</fb>
    <v>1</v>
  </rv>
  <rv s="0">
    <fb>45509</fb>
    <v>0</v>
  </rv>
  <rv s="0">
    <fb>779.45</fb>
    <v>1</v>
  </rv>
  <rv s="0">
    <fb>24367.5</fb>
    <v>1</v>
  </rv>
  <rv s="0">
    <fb>45516</fb>
    <v>0</v>
  </rv>
  <rv s="0">
    <fb>804.55</fb>
    <v>1</v>
  </rv>
  <rv s="0">
    <fb>24541.15</fb>
    <v>1</v>
  </rv>
  <rv s="0">
    <fb>45523</fb>
    <v>0</v>
  </rv>
  <rv s="0">
    <fb>24823.15</fb>
    <v>1</v>
  </rv>
  <rv s="0">
    <fb>45530</fb>
    <v>0</v>
  </rv>
  <rv s="0">
    <fb>45537</fb>
    <v>0</v>
  </rv>
  <rv s="0">
    <fb>762.8</fb>
    <v>1</v>
  </rv>
  <rv s="0">
    <fb>24852.15</fb>
    <v>1</v>
  </rv>
  <rv s="0">
    <fb>45544</fb>
    <v>0</v>
  </rv>
  <rv s="0">
    <fb>769.3</fb>
    <v>1</v>
  </rv>
  <rv s="0">
    <fb>25356.5</fb>
    <v>1</v>
  </rv>
  <rv s="0">
    <fb>45551</fb>
    <v>0</v>
  </rv>
  <rv s="0">
    <fb>747.9</fb>
    <v>1</v>
  </rv>
  <rv s="0">
    <fb>25790.95</fb>
    <v>1</v>
  </rv>
  <rv s="0">
    <fb>45558</fb>
    <v>0</v>
  </rv>
  <rv s="0">
    <fb>728.25</fb>
    <v>1</v>
  </rv>
  <rv s="0">
    <fb>26178.95</fb>
    <v>1</v>
  </rv>
  <rv s="0">
    <fb>45565</fb>
    <v>0</v>
  </rv>
  <rv s="0">
    <fb>746.25</fb>
    <v>1</v>
  </rv>
  <rv s="0">
    <fb>25014.6</fb>
    <v>1</v>
  </rv>
  <rv s="0">
    <fb>45572</fb>
    <v>0</v>
  </rv>
  <rv s="0">
    <fb>735.3</fb>
    <v>1</v>
  </rv>
  <rv s="0">
    <fb>24964.25</fb>
    <v>1</v>
  </rv>
  <rv s="0">
    <fb>45579</fb>
    <v>0</v>
  </rv>
  <rv s="0">
    <fb>726.45</fb>
    <v>1</v>
  </rv>
  <rv s="0">
    <fb>24854.05</fb>
    <v>1</v>
  </rv>
  <rv s="0">
    <fb>45586</fb>
    <v>0</v>
  </rv>
  <rv s="0">
    <fb>688.75</fb>
    <v>1</v>
  </rv>
  <rv s="0">
    <fb>24180.799999999999</fb>
    <v>1</v>
  </rv>
  <rv s="0">
    <fb>45593</fb>
    <v>0</v>
  </rv>
  <rv s="0">
    <fb>735.05</fb>
    <v>1</v>
  </rv>
  <rv s="0">
    <fb>24304.35</fb>
    <v>1</v>
  </rv>
  <rv s="0">
    <fb>45600</fb>
    <v>0</v>
  </rv>
  <rv s="0">
    <fb>736.2</fb>
    <v>1</v>
  </rv>
  <rv s="0">
    <fb>24148.2</fb>
    <v>1</v>
  </rv>
  <rv s="0">
    <fb>45607</fb>
    <v>0</v>
  </rv>
  <rv s="0">
    <fb>734.85</fb>
    <v>1</v>
  </rv>
  <rv s="0">
    <fb>23532.7</fb>
    <v>1</v>
  </rv>
  <rv s="0">
    <fb>45614</fb>
    <v>0</v>
  </rv>
  <rv s="0">
    <fb>23907.25</fb>
    <v>1</v>
  </rv>
  <rv s="0">
    <fb>45621</fb>
    <v>0</v>
  </rv>
  <rv s="0">
    <fb>728.65</fb>
    <v>1</v>
  </rv>
  <rv s="0">
    <fb>24221.9</fb>
    <v>1</v>
  </rv>
</rvData>
</file>

<file path=xl/richData/rdrichvaluestructure.xml><?xml version="1.0" encoding="utf-8"?>
<rvStructures xmlns="http://schemas.microsoft.com/office/spreadsheetml/2017/richdata" count="1">
  <s t="_formattednumber">
    <k n="_Format" t="spb"/>
  </s>
</rvStructures>
</file>

<file path=xl/richData/rdsupportingpropertybag.xml><?xml version="1.0" encoding="utf-8"?>
<supportingPropertyBags xmlns="http://schemas.microsoft.com/office/spreadsheetml/2017/richdata2">
  <spbData count="2">
    <spb s="0">
      <v>1</v>
    </spb>
    <spb s="0">
      <v>2</v>
    </spb>
  </spbData>
</supportingPropertyBags>
</file>

<file path=xl/richData/rdsupportingpropertybagstructure.xml><?xml version="1.0" encoding="utf-8"?>
<spbStructures xmlns="http://schemas.microsoft.com/office/spreadsheetml/2017/richdata2" count="1">
  <s>
    <k n="_Self"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19" formatCode="dd/mm/yyyy"/>
    </x:dxf>
    <x:dxf>
      <x:numFmt numFmtId="0" formatCode="General"/>
    </x:dxf>
  </dxfs>
  <richProperties>
    <rPr n="NumberFormat" t="s"/>
  </richProperties>
  <richStyles>
    <rSty dxfid="0"/>
    <rSty dxfid="1">
      <rpv i="0" xml:space="preserve">_ [$₹-as-IN] * #,##0.00_ ;_ [$₹-as-IN] * -#,##0.00_ ;_ [$₹-as-IN] * "-"??_ ;_ @_ </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primeinvestor.in/nifty-50-return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primeinvestor.in/nifty-50-returns/"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primeinvestor.in/nifty-50-returns/"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79C89-FCC3-419A-BA56-E4F693A8C1E9}">
  <dimension ref="C2:F6"/>
  <sheetViews>
    <sheetView workbookViewId="0">
      <selection activeCell="E15" sqref="E15"/>
    </sheetView>
  </sheetViews>
  <sheetFormatPr defaultRowHeight="14.25" x14ac:dyDescent="0.45"/>
  <cols>
    <col min="4" max="4" width="14.86328125" customWidth="1"/>
    <col min="5" max="5" width="20.796875" bestFit="1" customWidth="1"/>
    <col min="6" max="6" width="19.6640625" bestFit="1" customWidth="1"/>
  </cols>
  <sheetData>
    <row r="2" spans="3:6" x14ac:dyDescent="0.45">
      <c r="C2" t="s">
        <v>801</v>
      </c>
      <c r="D2" t="s">
        <v>802</v>
      </c>
      <c r="E2" t="s">
        <v>803</v>
      </c>
      <c r="F2" t="s">
        <v>804</v>
      </c>
    </row>
    <row r="3" spans="3:6" x14ac:dyDescent="0.45">
      <c r="C3">
        <v>1</v>
      </c>
      <c r="D3" t="s">
        <v>807</v>
      </c>
      <c r="E3" t="s">
        <v>805</v>
      </c>
      <c r="F3" s="30" t="s">
        <v>806</v>
      </c>
    </row>
    <row r="4" spans="3:6" x14ac:dyDescent="0.45">
      <c r="C4">
        <v>2</v>
      </c>
      <c r="D4" t="s">
        <v>811</v>
      </c>
      <c r="E4" t="s">
        <v>808</v>
      </c>
      <c r="F4" s="30"/>
    </row>
    <row r="5" spans="3:6" x14ac:dyDescent="0.45">
      <c r="C5">
        <v>3</v>
      </c>
      <c r="D5" t="s">
        <v>812</v>
      </c>
      <c r="E5" t="s">
        <v>813</v>
      </c>
      <c r="F5" s="30"/>
    </row>
    <row r="6" spans="3:6" x14ac:dyDescent="0.45">
      <c r="C6">
        <v>4</v>
      </c>
      <c r="D6" t="s">
        <v>809</v>
      </c>
      <c r="E6" t="s">
        <v>810</v>
      </c>
      <c r="F6" s="30"/>
    </row>
  </sheetData>
  <mergeCells count="1">
    <mergeCell ref="F3:F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C47"/>
  <sheetViews>
    <sheetView workbookViewId="0">
      <selection activeCell="AF34" sqref="AF34"/>
    </sheetView>
  </sheetViews>
  <sheetFormatPr defaultRowHeight="14.25" x14ac:dyDescent="0.45"/>
  <cols>
    <col min="1" max="1" width="10.1328125" bestFit="1" customWidth="1"/>
    <col min="2" max="2" width="11" bestFit="1" customWidth="1"/>
    <col min="6" max="6" width="11.1328125" customWidth="1"/>
    <col min="7" max="7" width="13.33203125" customWidth="1"/>
    <col min="10" max="10" width="12.53125" bestFit="1" customWidth="1"/>
    <col min="19" max="19" width="13.6640625" customWidth="1"/>
    <col min="20" max="20" width="14.33203125" bestFit="1" customWidth="1"/>
    <col min="21" max="21" width="15.33203125" customWidth="1"/>
    <col min="22" max="22" width="13" bestFit="1" customWidth="1"/>
    <col min="23" max="23" width="13" customWidth="1"/>
    <col min="25" max="25" width="9.86328125" customWidth="1"/>
    <col min="27" max="27" width="19" bestFit="1" customWidth="1"/>
    <col min="28" max="28" width="15.86328125" bestFit="1" customWidth="1"/>
    <col min="29" max="29" width="12.53125" bestFit="1" customWidth="1"/>
    <col min="31" max="31" width="11" bestFit="1" customWidth="1"/>
    <col min="32" max="32" width="19.6640625" bestFit="1" customWidth="1"/>
    <col min="39" max="39" width="17.1328125" bestFit="1" customWidth="1"/>
    <col min="40" max="40" width="14.46484375" customWidth="1"/>
    <col min="42" max="42" width="19.33203125" bestFit="1" customWidth="1"/>
    <col min="46" max="46" width="10.6640625" customWidth="1"/>
    <col min="54" max="54" width="16.33203125" bestFit="1" customWidth="1"/>
    <col min="57" max="57" width="17.33203125" bestFit="1" customWidth="1"/>
    <col min="58" max="58" width="10.46484375" bestFit="1" customWidth="1"/>
    <col min="59" max="59" width="12.86328125" bestFit="1" customWidth="1"/>
    <col min="60" max="60" width="13.46484375" bestFit="1" customWidth="1"/>
    <col min="61" max="61" width="16.33203125" bestFit="1" customWidth="1"/>
    <col min="62" max="62" width="11.1328125" customWidth="1"/>
    <col min="64" max="64" width="20.53125" bestFit="1" customWidth="1"/>
    <col min="69" max="69" width="18.86328125" customWidth="1"/>
    <col min="70" max="70" width="10.1328125" customWidth="1"/>
    <col min="73" max="73" width="17.1328125" bestFit="1" customWidth="1"/>
    <col min="74" max="74" width="12" bestFit="1" customWidth="1"/>
    <col min="75" max="75" width="14.33203125" bestFit="1" customWidth="1"/>
    <col min="76" max="77" width="12" bestFit="1" customWidth="1"/>
    <col min="78" max="78" width="13.33203125" bestFit="1" customWidth="1"/>
    <col min="79" max="79" width="12" bestFit="1" customWidth="1"/>
    <col min="80" max="80" width="12.6640625" bestFit="1" customWidth="1"/>
    <col min="81" max="81" width="12.46484375" bestFit="1" customWidth="1"/>
  </cols>
  <sheetData>
    <row r="1" spans="1:78" ht="14.45" customHeight="1" x14ac:dyDescent="0.45">
      <c r="A1" s="31" t="s">
        <v>0</v>
      </c>
      <c r="B1" s="31"/>
      <c r="C1" s="31"/>
      <c r="D1" s="25" t="s">
        <v>1</v>
      </c>
      <c r="F1" s="32" t="s">
        <v>2</v>
      </c>
      <c r="G1" s="32"/>
      <c r="H1" s="25" t="s">
        <v>3</v>
      </c>
      <c r="O1" s="33" t="s">
        <v>4</v>
      </c>
      <c r="P1" s="33"/>
      <c r="Q1" s="33"/>
      <c r="S1" s="35" t="s">
        <v>5</v>
      </c>
      <c r="T1" t="s">
        <v>6</v>
      </c>
      <c r="V1" s="7"/>
      <c r="X1" s="30" t="s">
        <v>7</v>
      </c>
      <c r="Y1" s="30"/>
      <c r="AA1" s="32" t="s">
        <v>8</v>
      </c>
      <c r="AB1" s="32"/>
      <c r="AM1" s="30" t="s">
        <v>9</v>
      </c>
      <c r="AN1" s="30"/>
      <c r="AP1" s="33" t="s">
        <v>10</v>
      </c>
      <c r="AQ1" s="33"/>
      <c r="AS1" s="40" t="s">
        <v>11</v>
      </c>
      <c r="AT1" s="40"/>
      <c r="AU1" s="40"/>
      <c r="BE1" s="42" t="s">
        <v>12</v>
      </c>
      <c r="BF1" s="42"/>
      <c r="BG1" s="42"/>
      <c r="BH1" s="42"/>
      <c r="BL1" s="4"/>
      <c r="BQ1" s="4"/>
      <c r="BR1" s="4"/>
    </row>
    <row r="2" spans="1:78" ht="14.45" customHeight="1" x14ac:dyDescent="0.45">
      <c r="A2" t="s">
        <v>13</v>
      </c>
      <c r="B2" t="s">
        <v>14</v>
      </c>
      <c r="F2" t="s">
        <v>13</v>
      </c>
      <c r="G2" t="s">
        <v>14</v>
      </c>
      <c r="J2" t="s">
        <v>15</v>
      </c>
      <c r="K2" t="s">
        <v>16</v>
      </c>
      <c r="L2" s="26" t="s">
        <v>17</v>
      </c>
      <c r="O2">
        <v>2024</v>
      </c>
      <c r="S2" s="35"/>
      <c r="T2" t="s">
        <v>18</v>
      </c>
      <c r="V2" s="7"/>
      <c r="X2" t="s">
        <v>19</v>
      </c>
      <c r="AA2" t="s">
        <v>20</v>
      </c>
      <c r="AB2" t="s">
        <v>21</v>
      </c>
      <c r="AC2" t="s">
        <v>22</v>
      </c>
      <c r="AE2" s="2" t="s">
        <v>23</v>
      </c>
      <c r="AF2" t="s">
        <v>24</v>
      </c>
      <c r="AH2" s="39" t="s">
        <v>25</v>
      </c>
      <c r="AI2" s="36"/>
      <c r="AJ2" s="36"/>
      <c r="AK2" s="36"/>
      <c r="AM2" t="s">
        <v>26</v>
      </c>
      <c r="AN2">
        <v>16143.58</v>
      </c>
      <c r="AP2" t="s">
        <v>27</v>
      </c>
      <c r="AQ2">
        <v>792.69</v>
      </c>
      <c r="AS2" s="40"/>
      <c r="AT2" s="40"/>
      <c r="AU2" s="40"/>
      <c r="BK2" s="25"/>
      <c r="BL2" s="25"/>
      <c r="BM2" s="37" t="s">
        <v>28</v>
      </c>
      <c r="BN2" s="37"/>
      <c r="BO2" s="37"/>
      <c r="BP2" s="37"/>
      <c r="BQ2" s="38" t="s">
        <v>29</v>
      </c>
      <c r="BR2" s="38" t="s">
        <v>30</v>
      </c>
    </row>
    <row r="3" spans="1:78" ht="19.5" customHeight="1" x14ac:dyDescent="0.45">
      <c r="A3" s="1" vm="1">
        <v>44256</v>
      </c>
      <c r="B3" s="19" vm="2">
        <v>489.15</v>
      </c>
      <c r="F3" s="1" vm="1">
        <v>44256</v>
      </c>
      <c r="G3" s="19" vm="3">
        <v>14690.7</v>
      </c>
      <c r="J3">
        <f>_xlfn.COVARIANCE.P(D4:D47,H4:H47)</f>
        <v>1.7156318713185397E-3</v>
      </c>
      <c r="K3">
        <f>_xlfn.VAR.P(H4:H47)</f>
        <v>1.3534673210993014E-3</v>
      </c>
      <c r="L3" s="26">
        <f>J3/K3</f>
        <v>1.2675827813301648</v>
      </c>
      <c r="O3">
        <v>2023</v>
      </c>
      <c r="P3">
        <v>19.420000000000002</v>
      </c>
      <c r="S3">
        <v>15.60916667</v>
      </c>
      <c r="T3">
        <v>6.5</v>
      </c>
      <c r="U3" s="39" t="s">
        <v>31</v>
      </c>
      <c r="V3" s="27">
        <f>V4*100</f>
        <v>18.046622823158636</v>
      </c>
      <c r="W3" t="s">
        <v>32</v>
      </c>
      <c r="X3">
        <f>(S4-T4)</f>
        <v>9.109166669999999E-2</v>
      </c>
      <c r="AA3" s="1">
        <v>45433</v>
      </c>
      <c r="AB3" s="1">
        <v>45552</v>
      </c>
      <c r="AC3">
        <v>0.75</v>
      </c>
      <c r="AE3" s="3" t="s">
        <v>33</v>
      </c>
      <c r="AF3">
        <v>3</v>
      </c>
      <c r="AH3" s="36"/>
      <c r="AI3" s="36"/>
      <c r="AJ3" s="36"/>
      <c r="AK3" s="36"/>
      <c r="AM3" t="s">
        <v>34</v>
      </c>
      <c r="AN3">
        <v>12663.46</v>
      </c>
      <c r="AP3" t="s">
        <v>35</v>
      </c>
      <c r="AQ3">
        <v>44.48</v>
      </c>
      <c r="AS3" s="40"/>
      <c r="AT3" s="40"/>
      <c r="AU3" s="40"/>
      <c r="BK3" s="25" t="s">
        <v>36</v>
      </c>
      <c r="BL3" s="28" t="s">
        <v>37</v>
      </c>
      <c r="BM3" s="25" t="s">
        <v>38</v>
      </c>
      <c r="BN3" s="25" t="s">
        <v>39</v>
      </c>
      <c r="BO3" s="25" t="s">
        <v>40</v>
      </c>
      <c r="BP3" s="25" t="s">
        <v>41</v>
      </c>
      <c r="BQ3" s="38"/>
      <c r="BR3" s="38"/>
    </row>
    <row r="4" spans="1:78" x14ac:dyDescent="0.45">
      <c r="A4" s="1" vm="4">
        <v>44287</v>
      </c>
      <c r="B4" s="19" vm="5">
        <v>624.25</v>
      </c>
      <c r="D4">
        <f>(B4-B3)/B3</f>
        <v>0.27619339670857618</v>
      </c>
      <c r="F4" s="1" vm="4">
        <v>44287</v>
      </c>
      <c r="G4" s="19" vm="6">
        <v>14631.1</v>
      </c>
      <c r="H4">
        <f>(G4-G3)/G3</f>
        <v>-4.056988434860174E-3</v>
      </c>
      <c r="O4">
        <v>2022</v>
      </c>
      <c r="P4">
        <v>4.32</v>
      </c>
      <c r="S4">
        <f>S3/100</f>
        <v>0.15609166669999999</v>
      </c>
      <c r="T4">
        <f>T3/100</f>
        <v>6.5000000000000002E-2</v>
      </c>
      <c r="U4" s="36"/>
      <c r="V4" s="26">
        <f>T4+L3*(S4-T4)</f>
        <v>0.18046622823158634</v>
      </c>
      <c r="X4">
        <f>X3*100</f>
        <v>9.1091666699999987</v>
      </c>
      <c r="AA4" s="1">
        <v>45237</v>
      </c>
      <c r="AB4" s="1">
        <v>45250</v>
      </c>
      <c r="AC4">
        <v>0.5</v>
      </c>
      <c r="AE4" s="3" t="s">
        <v>42</v>
      </c>
      <c r="AF4">
        <v>2.1999999999999997</v>
      </c>
      <c r="AH4" s="36"/>
      <c r="AI4" s="36"/>
      <c r="AJ4" s="36"/>
      <c r="AK4" s="36"/>
      <c r="AM4" t="s">
        <v>43</v>
      </c>
      <c r="AN4">
        <f>AN2-AN3</f>
        <v>3480.1200000000008</v>
      </c>
      <c r="AP4" s="26"/>
      <c r="AQ4" s="26"/>
      <c r="AS4" s="40"/>
      <c r="AT4" s="40"/>
      <c r="AU4" s="40"/>
      <c r="BK4" t="s">
        <v>44</v>
      </c>
      <c r="BL4">
        <f t="shared" ref="BL4:BL27" si="0">(D4*100)-BR4</f>
        <v>27.349333577477957</v>
      </c>
      <c r="BM4">
        <v>0.64919730223702599</v>
      </c>
      <c r="BN4">
        <v>10.539244375608201</v>
      </c>
      <c r="BO4" s="4">
        <f t="shared" ref="BO4:BO27" si="1">BQ4-BR4</f>
        <v>1.19509704301148</v>
      </c>
      <c r="BP4">
        <v>5.8040856872234601</v>
      </c>
      <c r="BQ4">
        <v>1.46510313639114</v>
      </c>
      <c r="BR4">
        <v>0.27000609337965997</v>
      </c>
      <c r="BU4" t="s">
        <v>45</v>
      </c>
    </row>
    <row r="5" spans="1:78" ht="17.45" customHeight="1" thickBot="1" x14ac:dyDescent="0.5">
      <c r="A5" s="1" vm="7">
        <v>44317</v>
      </c>
      <c r="B5" s="19" vm="8">
        <v>754.25</v>
      </c>
      <c r="D5">
        <f t="shared" ref="D5:D47" si="2">(B5-B4)/B4</f>
        <v>0.20824989987985582</v>
      </c>
      <c r="F5" s="1" vm="7">
        <v>44317</v>
      </c>
      <c r="G5" s="19" vm="9">
        <v>15582.8</v>
      </c>
      <c r="H5">
        <f t="shared" ref="H5:H47" si="3">(G5-G4)/G4</f>
        <v>6.5046373820150147E-2</v>
      </c>
      <c r="O5">
        <v>2021</v>
      </c>
      <c r="P5">
        <v>24.12</v>
      </c>
      <c r="AA5" s="1">
        <v>45049</v>
      </c>
      <c r="AB5" s="1">
        <v>45061</v>
      </c>
      <c r="AC5">
        <v>1.5</v>
      </c>
      <c r="AE5" s="3" t="s">
        <v>46</v>
      </c>
      <c r="AF5">
        <v>2.6</v>
      </c>
      <c r="AH5" s="36"/>
      <c r="AI5" s="36"/>
      <c r="AJ5" s="36"/>
      <c r="AK5" s="36"/>
      <c r="AP5" s="39" t="s">
        <v>47</v>
      </c>
      <c r="AQ5" s="26">
        <f>AQ2/AN4</f>
        <v>0.22777662839212437</v>
      </c>
      <c r="AS5" s="41" t="s">
        <v>48</v>
      </c>
      <c r="AT5" s="41"/>
      <c r="AU5" s="41"/>
      <c r="AV5" s="27">
        <f>AQ6+X4</f>
        <v>31.886829509212433</v>
      </c>
      <c r="AX5" s="30" t="s">
        <v>49</v>
      </c>
      <c r="AY5" s="30"/>
      <c r="AZ5" s="30"/>
      <c r="BA5">
        <f>AN6</f>
        <v>27365.51</v>
      </c>
      <c r="BF5" t="s">
        <v>50</v>
      </c>
      <c r="BG5" t="s">
        <v>51</v>
      </c>
      <c r="BH5" t="s">
        <v>52</v>
      </c>
      <c r="BI5" t="s">
        <v>53</v>
      </c>
      <c r="BK5" t="s">
        <v>54</v>
      </c>
      <c r="BL5">
        <f t="shared" si="0"/>
        <v>20.544159538012934</v>
      </c>
      <c r="BM5">
        <v>5.4578512125961902</v>
      </c>
      <c r="BN5">
        <v>2.2742173664393999</v>
      </c>
      <c r="BO5" s="4">
        <f t="shared" si="1"/>
        <v>7.1317207218583931</v>
      </c>
      <c r="BP5">
        <v>0.33800694409524801</v>
      </c>
      <c r="BQ5">
        <v>7.4125511718310397</v>
      </c>
      <c r="BR5">
        <v>0.280830449972647</v>
      </c>
    </row>
    <row r="6" spans="1:78" x14ac:dyDescent="0.45">
      <c r="A6" s="1" vm="10">
        <v>44348</v>
      </c>
      <c r="B6" s="19" vm="11">
        <v>760</v>
      </c>
      <c r="D6">
        <f t="shared" si="2"/>
        <v>7.6234670202187608E-3</v>
      </c>
      <c r="F6" s="1" vm="10">
        <v>44348</v>
      </c>
      <c r="G6" s="19" vm="12">
        <v>15721.5</v>
      </c>
      <c r="H6">
        <f t="shared" si="3"/>
        <v>8.9008393870165011E-3</v>
      </c>
      <c r="O6">
        <v>2020</v>
      </c>
      <c r="P6">
        <v>14.9</v>
      </c>
      <c r="AA6" s="1">
        <v>44953</v>
      </c>
      <c r="AB6" s="1">
        <v>44965</v>
      </c>
      <c r="AC6">
        <v>0.6</v>
      </c>
      <c r="AE6" s="3" t="s">
        <v>55</v>
      </c>
      <c r="AF6">
        <v>0.75</v>
      </c>
      <c r="AH6" s="36"/>
      <c r="AI6" s="36"/>
      <c r="AJ6" s="36"/>
      <c r="AK6" s="36"/>
      <c r="AM6" t="s">
        <v>56</v>
      </c>
      <c r="AN6">
        <v>27365.51</v>
      </c>
      <c r="AP6" s="36"/>
      <c r="AQ6" s="27">
        <f>AQ5*100</f>
        <v>22.777662839212436</v>
      </c>
      <c r="AR6" t="s">
        <v>32</v>
      </c>
      <c r="AS6" s="26"/>
      <c r="AT6" s="26"/>
      <c r="AU6" s="26"/>
      <c r="AV6" s="26">
        <f>AV5/100</f>
        <v>0.31886829509212433</v>
      </c>
      <c r="AX6" s="30" t="s">
        <v>57</v>
      </c>
      <c r="AY6" s="30"/>
      <c r="AZ6" s="30"/>
      <c r="BA6">
        <f>AN2+AN6</f>
        <v>43509.09</v>
      </c>
      <c r="BE6" t="s">
        <v>58</v>
      </c>
      <c r="BF6">
        <v>2.7441550000000001</v>
      </c>
      <c r="BG6">
        <v>-33.778170000000003</v>
      </c>
      <c r="BH6">
        <v>-33.778170000000003</v>
      </c>
      <c r="BI6">
        <v>4.1432060000000002</v>
      </c>
      <c r="BK6" t="s">
        <v>59</v>
      </c>
      <c r="BL6">
        <f t="shared" si="0"/>
        <v>0.48450740048023805</v>
      </c>
      <c r="BM6">
        <v>7.7699152369472104</v>
      </c>
      <c r="BN6">
        <v>4.74038638479559</v>
      </c>
      <c r="BO6" s="4">
        <f t="shared" si="1"/>
        <v>2.8089050909122522</v>
      </c>
      <c r="BP6">
        <v>-1.73055446393493</v>
      </c>
      <c r="BQ6">
        <v>3.0867443924538902</v>
      </c>
      <c r="BR6">
        <v>0.277839301541638</v>
      </c>
      <c r="BU6" s="10" t="s">
        <v>60</v>
      </c>
      <c r="BV6" s="10"/>
    </row>
    <row r="7" spans="1:78" x14ac:dyDescent="0.45">
      <c r="A7" s="1" vm="13">
        <v>44378</v>
      </c>
      <c r="B7" s="19" vm="14">
        <v>726.4</v>
      </c>
      <c r="D7">
        <f t="shared" si="2"/>
        <v>-4.4210526315789506E-2</v>
      </c>
      <c r="F7" s="1" vm="13">
        <v>44378</v>
      </c>
      <c r="G7" s="19" vm="15">
        <v>15763.05</v>
      </c>
      <c r="H7">
        <f t="shared" si="3"/>
        <v>2.6428775880163644E-3</v>
      </c>
      <c r="O7">
        <v>2019</v>
      </c>
      <c r="P7">
        <v>12.02</v>
      </c>
      <c r="AA7" s="1">
        <v>44693</v>
      </c>
      <c r="AB7" s="1">
        <v>44806</v>
      </c>
      <c r="AC7">
        <v>1</v>
      </c>
      <c r="AE7" s="3" t="s">
        <v>61</v>
      </c>
      <c r="AF7">
        <v>8.5499999999999989</v>
      </c>
      <c r="AP7" s="4"/>
      <c r="AX7" s="30" t="s">
        <v>62</v>
      </c>
      <c r="AY7" s="30"/>
      <c r="AZ7" s="30"/>
      <c r="BA7">
        <f>V4</f>
        <v>0.18046622823158634</v>
      </c>
      <c r="BE7" t="s">
        <v>63</v>
      </c>
      <c r="BF7">
        <v>-25.923507000000001</v>
      </c>
      <c r="BG7">
        <v>-16.919519999999999</v>
      </c>
      <c r="BH7">
        <v>-16.919519999999999</v>
      </c>
      <c r="BI7">
        <v>-4.5436370000000004</v>
      </c>
      <c r="BK7" t="s">
        <v>64</v>
      </c>
      <c r="BL7">
        <f t="shared" si="0"/>
        <v>-4.698610322648447</v>
      </c>
      <c r="BM7">
        <v>5.0528610004581003</v>
      </c>
      <c r="BN7">
        <v>6.7052357475825097</v>
      </c>
      <c r="BO7" s="4">
        <f t="shared" si="1"/>
        <v>1.435983542829963</v>
      </c>
      <c r="BP7">
        <v>3.4943010543341302</v>
      </c>
      <c r="BQ7">
        <v>1.71354123389946</v>
      </c>
      <c r="BR7">
        <v>0.27755769106949701</v>
      </c>
      <c r="BU7" t="s">
        <v>65</v>
      </c>
      <c r="BV7">
        <v>0.57079885481793236</v>
      </c>
    </row>
    <row r="8" spans="1:78" x14ac:dyDescent="0.45">
      <c r="A8" s="1" vm="16">
        <v>44409</v>
      </c>
      <c r="B8" s="19" vm="17">
        <v>761.6</v>
      </c>
      <c r="D8">
        <f t="shared" si="2"/>
        <v>4.8458149779735747E-2</v>
      </c>
      <c r="F8" s="1" vm="16">
        <v>44409</v>
      </c>
      <c r="G8" s="19" vm="18">
        <v>17132.2</v>
      </c>
      <c r="H8">
        <f t="shared" si="3"/>
        <v>8.6858190515160555E-2</v>
      </c>
      <c r="O8">
        <v>2018</v>
      </c>
      <c r="P8">
        <v>3.15</v>
      </c>
      <c r="AA8" s="1">
        <v>44767</v>
      </c>
      <c r="AB8" s="1">
        <v>44776</v>
      </c>
      <c r="AC8">
        <v>0.4</v>
      </c>
      <c r="AX8" s="35" t="s">
        <v>66</v>
      </c>
      <c r="AY8" s="30"/>
      <c r="AZ8" s="30"/>
      <c r="BA8">
        <f>AV6</f>
        <v>0.31886829509212433</v>
      </c>
      <c r="BE8" t="s">
        <v>67</v>
      </c>
      <c r="BF8">
        <v>14.716229</v>
      </c>
      <c r="BG8">
        <v>21.711950000000002</v>
      </c>
      <c r="BH8">
        <v>21.711950000000002</v>
      </c>
      <c r="BI8">
        <v>6.552079</v>
      </c>
      <c r="BK8" t="s">
        <v>68</v>
      </c>
      <c r="BL8">
        <f t="shared" si="0"/>
        <v>4.5560007566475402</v>
      </c>
      <c r="BM8">
        <v>-8.3949225002975503</v>
      </c>
      <c r="BN8">
        <v>-6.9714962255464696</v>
      </c>
      <c r="BO8" s="4">
        <f t="shared" si="1"/>
        <v>5.4379454698422149</v>
      </c>
      <c r="BP8">
        <v>3.9728501079538701</v>
      </c>
      <c r="BQ8">
        <v>5.7277596911682496</v>
      </c>
      <c r="BR8">
        <v>0.28981422132603502</v>
      </c>
      <c r="BU8" t="s">
        <v>69</v>
      </c>
      <c r="BV8">
        <v>0.325811332661463</v>
      </c>
    </row>
    <row r="9" spans="1:78" x14ac:dyDescent="0.45">
      <c r="A9" s="1" vm="19">
        <v>44440</v>
      </c>
      <c r="B9" s="19" vm="20">
        <v>803.95</v>
      </c>
      <c r="D9">
        <f t="shared" si="2"/>
        <v>5.5606617647058855E-2</v>
      </c>
      <c r="F9" s="1" vm="19">
        <v>44440</v>
      </c>
      <c r="G9" s="19" vm="21">
        <v>17618.150000000001</v>
      </c>
      <c r="H9">
        <f t="shared" si="3"/>
        <v>2.8364716732235246E-2</v>
      </c>
      <c r="O9">
        <v>2017</v>
      </c>
      <c r="P9">
        <v>28.65</v>
      </c>
      <c r="AA9" s="1">
        <v>44503</v>
      </c>
      <c r="AB9" s="1">
        <v>44517</v>
      </c>
      <c r="AC9">
        <v>0.5</v>
      </c>
      <c r="AX9" s="30"/>
      <c r="AY9" s="30"/>
      <c r="AZ9" s="30"/>
      <c r="BE9" t="s">
        <v>70</v>
      </c>
      <c r="BF9">
        <v>15.962009</v>
      </c>
      <c r="BG9">
        <v>-14.624980000000001</v>
      </c>
      <c r="BH9">
        <v>-14.624980000000001</v>
      </c>
      <c r="BI9">
        <v>10.996853</v>
      </c>
      <c r="BK9" t="s">
        <v>71</v>
      </c>
      <c r="BL9">
        <f t="shared" si="0"/>
        <v>5.2928270007519078</v>
      </c>
      <c r="BM9">
        <v>-1.4727894317972099</v>
      </c>
      <c r="BN9">
        <v>10.662309953551199</v>
      </c>
      <c r="BO9" s="4">
        <f t="shared" si="1"/>
        <v>3.8451046279371424</v>
      </c>
      <c r="BP9">
        <v>-2.23441534920038</v>
      </c>
      <c r="BQ9">
        <v>4.1129393918911203</v>
      </c>
      <c r="BR9">
        <v>0.26783476395397798</v>
      </c>
      <c r="BU9" t="s">
        <v>72</v>
      </c>
      <c r="BV9">
        <v>0.18387687637966577</v>
      </c>
    </row>
    <row r="10" spans="1:78" x14ac:dyDescent="0.45">
      <c r="A10" s="1" vm="22">
        <v>44470</v>
      </c>
      <c r="B10" s="19" vm="23">
        <v>802.85</v>
      </c>
      <c r="D10">
        <f t="shared" si="2"/>
        <v>-1.3682442937993939E-3</v>
      </c>
      <c r="F10" s="1" vm="22">
        <v>44470</v>
      </c>
      <c r="G10" s="19" vm="24">
        <v>17671.650000000001</v>
      </c>
      <c r="H10">
        <f t="shared" si="3"/>
        <v>3.0366411910444624E-3</v>
      </c>
      <c r="O10">
        <v>2016</v>
      </c>
      <c r="P10">
        <v>3.01</v>
      </c>
      <c r="AA10" s="1">
        <v>44361</v>
      </c>
      <c r="AB10" s="1">
        <v>44454</v>
      </c>
      <c r="AC10">
        <v>0.5</v>
      </c>
      <c r="AX10" s="30" t="s">
        <v>73</v>
      </c>
      <c r="AY10" s="30"/>
      <c r="AZ10" s="30"/>
      <c r="BA10">
        <f>AN2</f>
        <v>16143.58</v>
      </c>
      <c r="BK10" t="s">
        <v>74</v>
      </c>
      <c r="BL10">
        <f t="shared" si="0"/>
        <v>-0.40652077810955939</v>
      </c>
      <c r="BM10">
        <v>1.71230544965506</v>
      </c>
      <c r="BN10">
        <v>0.60131906398623902</v>
      </c>
      <c r="BO10" s="4">
        <f t="shared" si="1"/>
        <v>-1.37477626735569</v>
      </c>
      <c r="BP10">
        <v>6.6838386812152502</v>
      </c>
      <c r="BQ10">
        <v>-1.10507991862607</v>
      </c>
      <c r="BR10">
        <v>0.26969634872962001</v>
      </c>
      <c r="BU10" t="s">
        <v>75</v>
      </c>
      <c r="BV10">
        <v>12.892224879358551</v>
      </c>
    </row>
    <row r="11" spans="1:78" ht="14.65" thickBot="1" x14ac:dyDescent="0.5">
      <c r="A11" s="1" vm="25">
        <v>44501</v>
      </c>
      <c r="B11" s="19" vm="26">
        <v>789.15</v>
      </c>
      <c r="D11">
        <f t="shared" si="2"/>
        <v>-1.7064208756305717E-2</v>
      </c>
      <c r="F11" s="1" vm="25">
        <v>44501</v>
      </c>
      <c r="G11" s="19" vm="27">
        <v>16983.2</v>
      </c>
      <c r="H11">
        <f t="shared" si="3"/>
        <v>-3.8957878862471852E-2</v>
      </c>
      <c r="O11">
        <v>2015</v>
      </c>
      <c r="P11">
        <v>-4.0599999999999996</v>
      </c>
      <c r="AA11" s="1">
        <v>44767</v>
      </c>
      <c r="AB11" s="1">
        <v>44776</v>
      </c>
      <c r="AC11">
        <v>0.4</v>
      </c>
      <c r="AX11" s="30" t="s">
        <v>76</v>
      </c>
      <c r="AY11" s="30"/>
      <c r="AZ11" s="30"/>
      <c r="BA11">
        <f>AQ5</f>
        <v>0.22777662839212437</v>
      </c>
      <c r="BE11" t="s">
        <v>77</v>
      </c>
      <c r="BF11" s="5">
        <v>34243</v>
      </c>
      <c r="BK11" t="s">
        <v>78</v>
      </c>
      <c r="BL11">
        <f t="shared" si="0"/>
        <v>-2.0136881406962406</v>
      </c>
      <c r="BM11">
        <v>1.9695718537152</v>
      </c>
      <c r="BN11">
        <v>-1.6546471236050899</v>
      </c>
      <c r="BO11" s="4">
        <f t="shared" si="1"/>
        <v>-1.3296586046397889</v>
      </c>
      <c r="BP11">
        <v>4.5690580421212399</v>
      </c>
      <c r="BQ11">
        <v>-1.02239133957412</v>
      </c>
      <c r="BR11">
        <v>0.30726726506566898</v>
      </c>
      <c r="BU11" s="8" t="s">
        <v>79</v>
      </c>
      <c r="BV11" s="8">
        <v>24</v>
      </c>
    </row>
    <row r="12" spans="1:78" x14ac:dyDescent="0.45">
      <c r="A12" s="1" vm="28">
        <v>44531</v>
      </c>
      <c r="B12" s="19" vm="29">
        <v>990.75</v>
      </c>
      <c r="D12">
        <f t="shared" si="2"/>
        <v>0.25546474054362295</v>
      </c>
      <c r="F12" s="1" vm="28">
        <v>44531</v>
      </c>
      <c r="G12" s="19" vm="30">
        <v>17354.05</v>
      </c>
      <c r="H12">
        <f t="shared" si="3"/>
        <v>2.1836285270149237E-2</v>
      </c>
      <c r="O12">
        <v>2014</v>
      </c>
      <c r="P12">
        <v>31.39</v>
      </c>
      <c r="AA12" s="1">
        <v>44503</v>
      </c>
      <c r="AB12" s="1">
        <v>44517</v>
      </c>
      <c r="AC12">
        <v>0.5</v>
      </c>
      <c r="AX12" s="30" t="s">
        <v>80</v>
      </c>
      <c r="AY12" s="30"/>
      <c r="AZ12" s="30"/>
      <c r="BA12">
        <v>0.25</v>
      </c>
      <c r="BE12" t="s">
        <v>81</v>
      </c>
      <c r="BF12" s="5">
        <v>44986</v>
      </c>
      <c r="BK12" t="s">
        <v>82</v>
      </c>
      <c r="BL12">
        <f t="shared" si="0"/>
        <v>25.248506775853905</v>
      </c>
      <c r="BM12">
        <v>5.9782451378488402</v>
      </c>
      <c r="BN12">
        <v>1.2897451433991001</v>
      </c>
      <c r="BO12" s="4">
        <f t="shared" si="1"/>
        <v>3.5273655592612969</v>
      </c>
      <c r="BP12">
        <v>3.5805724194122499</v>
      </c>
      <c r="BQ12">
        <v>3.82533283776969</v>
      </c>
      <c r="BR12">
        <v>0.297967278508393</v>
      </c>
    </row>
    <row r="13" spans="1:78" ht="14.65" thickBot="1" x14ac:dyDescent="0.5">
      <c r="A13" s="1" vm="31">
        <v>44562</v>
      </c>
      <c r="B13" s="19" vm="32">
        <v>963.5</v>
      </c>
      <c r="D13">
        <f t="shared" si="2"/>
        <v>-2.7504415846580872E-2</v>
      </c>
      <c r="F13" s="1" vm="31">
        <v>44562</v>
      </c>
      <c r="G13" s="19" vm="33">
        <v>17339.849999999999</v>
      </c>
      <c r="H13">
        <f t="shared" si="3"/>
        <v>-8.1825279977876795E-4</v>
      </c>
      <c r="O13">
        <v>2013</v>
      </c>
      <c r="P13">
        <v>6.76</v>
      </c>
      <c r="AA13" s="1">
        <v>44361</v>
      </c>
      <c r="AB13" s="1">
        <v>44454</v>
      </c>
      <c r="AC13">
        <v>0.5</v>
      </c>
      <c r="BB13" s="7" t="s">
        <v>83</v>
      </c>
      <c r="BK13" t="s">
        <v>84</v>
      </c>
      <c r="BL13">
        <f t="shared" si="0"/>
        <v>-3.0534749172111022</v>
      </c>
      <c r="BM13">
        <v>-0.22882739773580901</v>
      </c>
      <c r="BN13">
        <v>10.9314994547853</v>
      </c>
      <c r="BO13" s="4">
        <f t="shared" si="1"/>
        <v>-1.8761949318261351</v>
      </c>
      <c r="BP13">
        <v>-1.8796783779495601E-2</v>
      </c>
      <c r="BQ13">
        <v>-1.57316159927312</v>
      </c>
      <c r="BR13">
        <v>0.30303333255301501</v>
      </c>
      <c r="BU13" t="s">
        <v>85</v>
      </c>
    </row>
    <row r="14" spans="1:78" x14ac:dyDescent="0.45">
      <c r="A14" s="1" vm="34">
        <v>44593</v>
      </c>
      <c r="B14" s="19" vm="35">
        <v>837.05</v>
      </c>
      <c r="D14">
        <f t="shared" si="2"/>
        <v>-0.13124026984950704</v>
      </c>
      <c r="F14" s="1" vm="34">
        <v>44593</v>
      </c>
      <c r="G14" s="19" vm="36">
        <v>16793.900000000001</v>
      </c>
      <c r="H14">
        <f t="shared" si="3"/>
        <v>-3.1485278131010194E-2</v>
      </c>
      <c r="O14">
        <v>2012</v>
      </c>
      <c r="P14">
        <v>27.7</v>
      </c>
      <c r="AA14" s="1">
        <v>44767</v>
      </c>
      <c r="AB14" s="1">
        <v>44776</v>
      </c>
      <c r="AC14">
        <v>0.4</v>
      </c>
      <c r="AX14" s="36" t="s">
        <v>86</v>
      </c>
      <c r="AY14" s="36"/>
      <c r="AZ14" s="36"/>
      <c r="BA14" s="26">
        <f>((BA5/BA6)*BA7)+((BA10/BA6)*BA11*(1-BA12))</f>
        <v>0.17689172630978162</v>
      </c>
      <c r="BB14" s="27">
        <f>BA14*100</f>
        <v>17.689172630978163</v>
      </c>
      <c r="BC14" s="26" t="s">
        <v>32</v>
      </c>
      <c r="BE14" s="35" t="s">
        <v>87</v>
      </c>
      <c r="BF14" s="30"/>
      <c r="BG14" s="30"/>
      <c r="BH14" s="30"/>
      <c r="BI14" s="30"/>
      <c r="BK14" t="s">
        <v>88</v>
      </c>
      <c r="BL14">
        <f t="shared" si="0"/>
        <v>-13.409387744672669</v>
      </c>
      <c r="BM14">
        <v>-6.8326120452735202</v>
      </c>
      <c r="BN14">
        <v>-1.8273541823214501</v>
      </c>
      <c r="BO14" s="4">
        <f t="shared" si="1"/>
        <v>-4.7102919715192542</v>
      </c>
      <c r="BP14">
        <v>-2.45525666435636</v>
      </c>
      <c r="BQ14">
        <v>-4.4249312117972899</v>
      </c>
      <c r="BR14">
        <v>0.28536075972196401</v>
      </c>
      <c r="BU14" s="9"/>
      <c r="BV14" s="9" t="s">
        <v>89</v>
      </c>
      <c r="BW14" s="9" t="s">
        <v>90</v>
      </c>
      <c r="BX14" s="9" t="s">
        <v>91</v>
      </c>
      <c r="BY14" s="9" t="s">
        <v>92</v>
      </c>
      <c r="BZ14" s="9" t="s">
        <v>93</v>
      </c>
    </row>
    <row r="15" spans="1:78" x14ac:dyDescent="0.45">
      <c r="A15" s="1" vm="37">
        <v>44621</v>
      </c>
      <c r="B15" s="19" vm="38">
        <v>824.45</v>
      </c>
      <c r="D15">
        <f t="shared" si="2"/>
        <v>-1.5052864225553922E-2</v>
      </c>
      <c r="F15" s="1" vm="37">
        <v>44621</v>
      </c>
      <c r="G15" s="19" vm="39">
        <v>17464.75</v>
      </c>
      <c r="H15">
        <f t="shared" si="3"/>
        <v>3.9946051840251427E-2</v>
      </c>
      <c r="O15">
        <v>2011</v>
      </c>
      <c r="P15">
        <v>-24.62</v>
      </c>
      <c r="AA15" s="1">
        <v>44503</v>
      </c>
      <c r="AB15" s="1">
        <v>44517</v>
      </c>
      <c r="AC15">
        <v>0.5</v>
      </c>
      <c r="AX15" s="36" t="s">
        <v>94</v>
      </c>
      <c r="AY15" s="36"/>
      <c r="AZ15" s="36"/>
      <c r="BA15" s="26">
        <f>((BA5/BA6)*BA8)+((BA10/BA6)*BA11*(1-BA12))</f>
        <v>0.26394119447132491</v>
      </c>
      <c r="BB15" s="27">
        <f>BA15*100</f>
        <v>26.394119447132493</v>
      </c>
      <c r="BC15" s="26" t="s">
        <v>32</v>
      </c>
      <c r="BE15" s="30"/>
      <c r="BF15" s="30"/>
      <c r="BG15" s="30"/>
      <c r="BH15" s="30"/>
      <c r="BI15" s="30"/>
      <c r="BK15" t="s">
        <v>95</v>
      </c>
      <c r="BL15">
        <f t="shared" si="0"/>
        <v>-1.8203812404032531</v>
      </c>
      <c r="BM15">
        <v>2.11078395043769</v>
      </c>
      <c r="BN15">
        <v>0.79054109885159396</v>
      </c>
      <c r="BO15" s="4">
        <f t="shared" si="1"/>
        <v>4.4190756174622194</v>
      </c>
      <c r="BP15">
        <v>7.2255747277715896</v>
      </c>
      <c r="BQ15">
        <v>4.7341704353100802</v>
      </c>
      <c r="BR15">
        <v>0.31509481784786098</v>
      </c>
      <c r="BU15" t="s">
        <v>96</v>
      </c>
      <c r="BV15">
        <v>4</v>
      </c>
      <c r="BW15">
        <v>1526.1389755397922</v>
      </c>
      <c r="BX15">
        <v>381.53474388494806</v>
      </c>
      <c r="BY15">
        <v>2.2955055537366897</v>
      </c>
      <c r="BZ15">
        <v>9.6760852353355714E-2</v>
      </c>
    </row>
    <row r="16" spans="1:78" x14ac:dyDescent="0.45">
      <c r="A16" s="1" vm="40">
        <v>44652</v>
      </c>
      <c r="B16" s="19" vm="41">
        <v>828.6</v>
      </c>
      <c r="D16">
        <f t="shared" si="2"/>
        <v>5.0336588028382281E-3</v>
      </c>
      <c r="F16" s="1" vm="40">
        <v>44652</v>
      </c>
      <c r="G16" s="19" vm="42">
        <v>17102.55</v>
      </c>
      <c r="H16">
        <f t="shared" si="3"/>
        <v>-2.0738916961307818E-2</v>
      </c>
      <c r="O16">
        <v>2010</v>
      </c>
      <c r="P16">
        <v>17.95</v>
      </c>
      <c r="AA16" s="1">
        <v>44361</v>
      </c>
      <c r="AB16" s="1">
        <v>44454</v>
      </c>
      <c r="AC16">
        <v>0.5</v>
      </c>
      <c r="BK16" t="s">
        <v>97</v>
      </c>
      <c r="BL16">
        <f t="shared" si="0"/>
        <v>0.19738442567268577</v>
      </c>
      <c r="BM16">
        <v>2.1924602824092898</v>
      </c>
      <c r="BN16">
        <v>4.4905873433844601</v>
      </c>
      <c r="BO16" s="4">
        <f t="shared" si="1"/>
        <v>1.061786573562973</v>
      </c>
      <c r="BP16">
        <v>-2.9122356528435498</v>
      </c>
      <c r="BQ16">
        <v>1.36776802817411</v>
      </c>
      <c r="BR16">
        <v>0.30598145461113702</v>
      </c>
      <c r="BU16" t="s">
        <v>98</v>
      </c>
      <c r="BV16">
        <v>19</v>
      </c>
      <c r="BW16">
        <v>3157.9797844590803</v>
      </c>
      <c r="BX16">
        <v>166.20946233995159</v>
      </c>
    </row>
    <row r="17" spans="1:81" ht="14.65" thickBot="1" x14ac:dyDescent="0.5">
      <c r="A17" s="1" vm="43">
        <v>44682</v>
      </c>
      <c r="B17" s="19" vm="44">
        <v>687.65</v>
      </c>
      <c r="D17">
        <f t="shared" si="2"/>
        <v>-0.17010620323437128</v>
      </c>
      <c r="F17" s="1" vm="43">
        <v>44682</v>
      </c>
      <c r="G17" s="19" vm="45">
        <v>16584.55</v>
      </c>
      <c r="H17">
        <f t="shared" si="3"/>
        <v>-3.0287881046978375E-2</v>
      </c>
      <c r="O17">
        <v>2009</v>
      </c>
      <c r="P17">
        <v>75.760000000000005</v>
      </c>
      <c r="BK17" t="s">
        <v>99</v>
      </c>
      <c r="BL17">
        <f t="shared" si="0"/>
        <v>-17.403468702017285</v>
      </c>
      <c r="BM17">
        <v>-3.401539591473</v>
      </c>
      <c r="BN17">
        <v>-2.2869046807863298</v>
      </c>
      <c r="BO17" s="4">
        <f t="shared" si="1"/>
        <v>-6.9566240901751577</v>
      </c>
      <c r="BP17">
        <v>-6.02273464051407</v>
      </c>
      <c r="BQ17">
        <v>-6.5637757115950004</v>
      </c>
      <c r="BR17">
        <v>0.39284837858015698</v>
      </c>
      <c r="BU17" s="8" t="s">
        <v>100</v>
      </c>
      <c r="BV17" s="8">
        <v>23</v>
      </c>
      <c r="BW17" s="8">
        <v>4684.1187599988725</v>
      </c>
      <c r="BX17" s="8"/>
      <c r="BY17" s="8"/>
      <c r="BZ17" s="8"/>
    </row>
    <row r="18" spans="1:81" ht="14.65" thickBot="1" x14ac:dyDescent="0.5">
      <c r="A18" s="1" vm="46">
        <v>44713</v>
      </c>
      <c r="B18" s="19" vm="47">
        <v>610.1</v>
      </c>
      <c r="D18">
        <f t="shared" si="2"/>
        <v>-0.11277539445939061</v>
      </c>
      <c r="F18" s="1" vm="46">
        <v>44713</v>
      </c>
      <c r="G18" s="19" vm="48">
        <v>15780.25</v>
      </c>
      <c r="H18">
        <f t="shared" si="3"/>
        <v>-4.849694444528186E-2</v>
      </c>
      <c r="O18">
        <v>2008</v>
      </c>
      <c r="P18">
        <v>-51.79</v>
      </c>
      <c r="BK18" t="s">
        <v>101</v>
      </c>
      <c r="BL18">
        <f t="shared" si="0"/>
        <v>-11.680981519527062</v>
      </c>
      <c r="BM18">
        <v>0.21378150358653</v>
      </c>
      <c r="BN18">
        <v>-2.80989446661818</v>
      </c>
      <c r="BO18" s="4">
        <f t="shared" si="1"/>
        <v>-5.3456300739966407</v>
      </c>
      <c r="BP18">
        <v>1.85928871431238</v>
      </c>
      <c r="BQ18">
        <v>-4.94218800040864</v>
      </c>
      <c r="BR18">
        <v>0.40344207358800099</v>
      </c>
    </row>
    <row r="19" spans="1:81" x14ac:dyDescent="0.45">
      <c r="A19" s="1" vm="49">
        <v>44743</v>
      </c>
      <c r="B19" s="19" vm="50">
        <v>796.75</v>
      </c>
      <c r="D19">
        <f t="shared" si="2"/>
        <v>0.3059334535322078</v>
      </c>
      <c r="F19" s="1" vm="49">
        <v>44743</v>
      </c>
      <c r="G19" s="19" vm="51">
        <v>17158.25</v>
      </c>
      <c r="H19">
        <f t="shared" si="3"/>
        <v>8.7324345305049039E-2</v>
      </c>
      <c r="O19">
        <v>2007</v>
      </c>
      <c r="P19">
        <v>54.77</v>
      </c>
      <c r="BK19" t="s">
        <v>102</v>
      </c>
      <c r="BL19">
        <f t="shared" si="0"/>
        <v>30.185225611003698</v>
      </c>
      <c r="BM19">
        <v>2.2470930785683398</v>
      </c>
      <c r="BN19">
        <v>-3.3513362723607401</v>
      </c>
      <c r="BO19" s="4">
        <f t="shared" si="1"/>
        <v>7.8960623626704862</v>
      </c>
      <c r="BP19">
        <v>-2.8933445563003399</v>
      </c>
      <c r="BQ19">
        <v>8.3041821048875697</v>
      </c>
      <c r="BR19">
        <v>0.40811974221708303</v>
      </c>
      <c r="BU19" s="9"/>
      <c r="BV19" s="9" t="s">
        <v>103</v>
      </c>
      <c r="BW19" s="9" t="s">
        <v>75</v>
      </c>
      <c r="BX19" s="9" t="s">
        <v>104</v>
      </c>
      <c r="BY19" s="9" t="s">
        <v>105</v>
      </c>
      <c r="BZ19" s="9" t="s">
        <v>106</v>
      </c>
      <c r="CA19" s="9" t="s">
        <v>107</v>
      </c>
      <c r="CB19" s="9" t="s">
        <v>108</v>
      </c>
      <c r="CC19" s="9" t="s">
        <v>109</v>
      </c>
    </row>
    <row r="20" spans="1:81" x14ac:dyDescent="0.45">
      <c r="A20" s="1" vm="52">
        <v>44774</v>
      </c>
      <c r="B20" s="19" vm="53">
        <v>777</v>
      </c>
      <c r="D20">
        <f t="shared" si="2"/>
        <v>-2.4788202070913083E-2</v>
      </c>
      <c r="F20" s="1" vm="52">
        <v>44774</v>
      </c>
      <c r="G20" s="19" vm="54">
        <v>17759.3</v>
      </c>
      <c r="H20">
        <f t="shared" si="3"/>
        <v>3.5029796162195988E-2</v>
      </c>
      <c r="O20">
        <v>2006</v>
      </c>
      <c r="P20">
        <v>39.83</v>
      </c>
      <c r="BK20" t="s">
        <v>110</v>
      </c>
      <c r="BL20">
        <f t="shared" si="0"/>
        <v>-2.9560529611343416</v>
      </c>
      <c r="BM20">
        <v>1.2287120546374599</v>
      </c>
      <c r="BN20">
        <v>2.4731591491459</v>
      </c>
      <c r="BO20" s="4">
        <f t="shared" si="1"/>
        <v>4.4127181239296966</v>
      </c>
      <c r="BP20">
        <v>5.8556120989414504</v>
      </c>
      <c r="BQ20">
        <v>4.8899508779727299</v>
      </c>
      <c r="BR20">
        <v>0.477232754043033</v>
      </c>
      <c r="BU20" t="s">
        <v>111</v>
      </c>
      <c r="BV20">
        <v>2.3165106880706685</v>
      </c>
      <c r="BW20">
        <v>3.0085478195530335</v>
      </c>
      <c r="BX20">
        <v>0.76997635637209916</v>
      </c>
      <c r="BY20">
        <v>0.45078181964696951</v>
      </c>
      <c r="BZ20">
        <v>-3.980452267091501</v>
      </c>
      <c r="CA20">
        <v>8.6134736432328385</v>
      </c>
      <c r="CB20">
        <v>-3.980452267091501</v>
      </c>
      <c r="CC20">
        <v>8.6134736432328385</v>
      </c>
    </row>
    <row r="21" spans="1:81" x14ac:dyDescent="0.45">
      <c r="A21" s="1" vm="55">
        <v>44805</v>
      </c>
      <c r="B21" s="19" vm="56">
        <v>751.15</v>
      </c>
      <c r="D21">
        <f t="shared" si="2"/>
        <v>-3.3268983268983296E-2</v>
      </c>
      <c r="F21" s="1" vm="55">
        <v>44805</v>
      </c>
      <c r="G21" s="19" vm="57">
        <v>17094.349999999999</v>
      </c>
      <c r="H21">
        <f t="shared" si="3"/>
        <v>-3.7442354146841418E-2</v>
      </c>
      <c r="O21">
        <v>2005</v>
      </c>
      <c r="P21">
        <v>36.340000000000003</v>
      </c>
      <c r="BK21" t="s">
        <v>112</v>
      </c>
      <c r="BL21">
        <f t="shared" si="0"/>
        <v>-3.8017741342437055</v>
      </c>
      <c r="BM21">
        <v>3.2997202271652899</v>
      </c>
      <c r="BN21">
        <v>-2.0141931416122998</v>
      </c>
      <c r="BO21" s="4">
        <f t="shared" si="1"/>
        <v>-4.0541134151954159</v>
      </c>
      <c r="BP21">
        <v>1.4322461210874999</v>
      </c>
      <c r="BQ21">
        <v>-3.5792376078500401</v>
      </c>
      <c r="BR21">
        <v>0.47487580734537599</v>
      </c>
      <c r="BU21" t="s">
        <v>38</v>
      </c>
      <c r="BV21">
        <v>0.13085023827653289</v>
      </c>
      <c r="BW21">
        <v>0.78022509914720339</v>
      </c>
      <c r="BX21">
        <v>0.16770831702229777</v>
      </c>
      <c r="BY21">
        <v>0.86858495761796395</v>
      </c>
      <c r="BZ21">
        <v>-1.5021796620916721</v>
      </c>
      <c r="CA21">
        <v>1.7638801386447378</v>
      </c>
      <c r="CB21">
        <v>-1.5021796620916721</v>
      </c>
      <c r="CC21">
        <v>1.7638801386447378</v>
      </c>
    </row>
    <row r="22" spans="1:81" x14ac:dyDescent="0.45">
      <c r="A22" s="1" vm="58">
        <v>44835</v>
      </c>
      <c r="B22" s="19" vm="59">
        <v>759.95</v>
      </c>
      <c r="D22">
        <f t="shared" si="2"/>
        <v>1.1715369766358341E-2</v>
      </c>
      <c r="F22" s="1" vm="58">
        <v>44835</v>
      </c>
      <c r="G22" s="19" vm="60">
        <v>18012.2</v>
      </c>
      <c r="H22">
        <f t="shared" si="3"/>
        <v>5.3693179325332768E-2</v>
      </c>
      <c r="O22">
        <v>2004</v>
      </c>
      <c r="P22">
        <v>10.68</v>
      </c>
      <c r="BK22" t="s">
        <v>113</v>
      </c>
      <c r="BL22">
        <f t="shared" si="0"/>
        <v>0.65480545694454007</v>
      </c>
      <c r="BM22">
        <v>-2.5174924061605699</v>
      </c>
      <c r="BN22">
        <v>3.2116556233503299</v>
      </c>
      <c r="BO22" s="4">
        <f t="shared" si="1"/>
        <v>1.342725072667146</v>
      </c>
      <c r="BP22">
        <v>-0.118012662925049</v>
      </c>
      <c r="BQ22">
        <v>1.8594565923584401</v>
      </c>
      <c r="BR22">
        <v>0.51673151969129405</v>
      </c>
      <c r="BU22" t="s">
        <v>39</v>
      </c>
      <c r="BV22">
        <v>2.2889419596817413E-2</v>
      </c>
      <c r="BW22">
        <v>0.61603879324338995</v>
      </c>
      <c r="BX22">
        <v>3.7155808770266946E-2</v>
      </c>
      <c r="BY22">
        <v>0.97074838597667479</v>
      </c>
      <c r="BZ22">
        <v>-1.2664945931102649</v>
      </c>
      <c r="CA22">
        <v>1.3122734323038998</v>
      </c>
      <c r="CB22">
        <v>-1.2664945931102649</v>
      </c>
      <c r="CC22">
        <v>1.3122734323038998</v>
      </c>
    </row>
    <row r="23" spans="1:81" x14ac:dyDescent="0.45">
      <c r="A23" s="1" vm="61">
        <v>44866</v>
      </c>
      <c r="B23" s="19" vm="62">
        <v>719.05</v>
      </c>
      <c r="D23">
        <f t="shared" si="2"/>
        <v>-5.3819330219093478E-2</v>
      </c>
      <c r="F23" s="1" vm="61">
        <v>44866</v>
      </c>
      <c r="G23" s="19" vm="63">
        <v>18758.349999999999</v>
      </c>
      <c r="H23">
        <f t="shared" si="3"/>
        <v>4.1424701035964392E-2</v>
      </c>
      <c r="O23">
        <v>2003</v>
      </c>
      <c r="P23">
        <v>71.900000000000006</v>
      </c>
      <c r="BK23" t="s">
        <v>114</v>
      </c>
      <c r="BL23">
        <f t="shared" si="0"/>
        <v>-5.8969638145292675</v>
      </c>
      <c r="BM23">
        <v>-0.46622364579325098</v>
      </c>
      <c r="BN23">
        <v>5.7887239219933697</v>
      </c>
      <c r="BO23" s="4">
        <f t="shared" si="1"/>
        <v>1.786842797714661</v>
      </c>
      <c r="BP23">
        <v>-1.51323079535161</v>
      </c>
      <c r="BQ23">
        <v>2.3018735903345799</v>
      </c>
      <c r="BR23">
        <v>0.51503079261991902</v>
      </c>
      <c r="BU23" t="s">
        <v>40</v>
      </c>
      <c r="BV23">
        <v>1.8080718219319047</v>
      </c>
      <c r="BW23">
        <v>0.67436025784176012</v>
      </c>
      <c r="BX23">
        <v>2.6811660398234385</v>
      </c>
      <c r="BY23">
        <v>1.4777067681283338E-2</v>
      </c>
      <c r="BZ23">
        <v>0.39661958093211092</v>
      </c>
      <c r="CA23">
        <v>3.2195240629316988</v>
      </c>
      <c r="CB23">
        <v>0.39661958093211092</v>
      </c>
      <c r="CC23">
        <v>3.2195240629316988</v>
      </c>
    </row>
    <row r="24" spans="1:81" ht="15.6" customHeight="1" thickBot="1" x14ac:dyDescent="0.5">
      <c r="A24" s="1" vm="64">
        <v>44896</v>
      </c>
      <c r="B24" s="19" vm="65">
        <v>679.45</v>
      </c>
      <c r="D24">
        <f t="shared" si="2"/>
        <v>-5.5072665322300131E-2</v>
      </c>
      <c r="F24" s="1" vm="64">
        <v>44896</v>
      </c>
      <c r="G24" s="19" vm="66">
        <v>18105.3</v>
      </c>
      <c r="H24">
        <f t="shared" si="3"/>
        <v>-3.4813829574562756E-2</v>
      </c>
      <c r="O24">
        <v>2002</v>
      </c>
      <c r="P24">
        <v>3.25</v>
      </c>
      <c r="BE24" s="4"/>
      <c r="BK24" t="s">
        <v>115</v>
      </c>
      <c r="BL24">
        <f t="shared" si="0"/>
        <v>-6.0182975685253428</v>
      </c>
      <c r="BM24">
        <v>1.67869370627332</v>
      </c>
      <c r="BN24">
        <v>3.1650307621964502</v>
      </c>
      <c r="BO24" s="4">
        <f t="shared" si="1"/>
        <v>-4.4912732803298292</v>
      </c>
      <c r="BP24">
        <v>-8.5831970982475095E-2</v>
      </c>
      <c r="BQ24">
        <v>-3.9802422440345002</v>
      </c>
      <c r="BR24">
        <v>0.51103103629532898</v>
      </c>
      <c r="BU24" s="8" t="s">
        <v>41</v>
      </c>
      <c r="BV24" s="8">
        <v>0.128781685177427</v>
      </c>
      <c r="BW24" s="8">
        <v>0.79399299641912824</v>
      </c>
      <c r="BX24" s="8">
        <v>0.16219498882008587</v>
      </c>
      <c r="BY24" s="8">
        <v>0.87286478929421607</v>
      </c>
      <c r="BZ24" s="8">
        <v>-1.5330647553595391</v>
      </c>
      <c r="CA24" s="8">
        <v>1.7906281257143932</v>
      </c>
      <c r="CB24" s="8">
        <v>-1.5330647553595391</v>
      </c>
      <c r="CC24" s="8">
        <v>1.7906281257143932</v>
      </c>
    </row>
    <row r="25" spans="1:81" x14ac:dyDescent="0.45">
      <c r="A25" s="1" vm="67">
        <v>44927</v>
      </c>
      <c r="B25" s="19" vm="68">
        <v>593.6</v>
      </c>
      <c r="D25">
        <f t="shared" si="2"/>
        <v>-0.12635219662962693</v>
      </c>
      <c r="F25" s="1" vm="67">
        <v>44927</v>
      </c>
      <c r="G25" s="19" vm="69">
        <v>17662.150000000001</v>
      </c>
      <c r="H25">
        <f t="shared" si="3"/>
        <v>-2.4476258333195132E-2</v>
      </c>
      <c r="O25">
        <v>2001</v>
      </c>
      <c r="P25">
        <v>-16.18</v>
      </c>
      <c r="BE25" s="39" t="s">
        <v>116</v>
      </c>
      <c r="BF25" s="27">
        <f>T3/12+BV23*X4+BV21*BI7+BV22*BI8+BV24*BI9+BV20</f>
        <v>20.299835494404483</v>
      </c>
      <c r="BG25" s="27" t="s">
        <v>32</v>
      </c>
      <c r="BK25" t="s">
        <v>117</v>
      </c>
      <c r="BL25">
        <f t="shared" si="0"/>
        <v>-13.17962195643344</v>
      </c>
      <c r="BM25">
        <v>0.37775377111275399</v>
      </c>
      <c r="BN25">
        <v>3.6494669492336498</v>
      </c>
      <c r="BO25" s="4">
        <f t="shared" si="1"/>
        <v>-5.0937244986011168</v>
      </c>
      <c r="BP25">
        <v>-3.2653054961377199</v>
      </c>
      <c r="BQ25">
        <v>-4.5493222051303697</v>
      </c>
      <c r="BR25">
        <v>0.54440229347074698</v>
      </c>
    </row>
    <row r="26" spans="1:81" x14ac:dyDescent="0.45">
      <c r="A26" s="1" vm="70">
        <v>44958</v>
      </c>
      <c r="B26" s="19" vm="71">
        <v>645.15</v>
      </c>
      <c r="D26">
        <f t="shared" si="2"/>
        <v>8.6842991913746545E-2</v>
      </c>
      <c r="F26" s="1" vm="70">
        <v>44958</v>
      </c>
      <c r="G26" s="19" vm="72">
        <v>17303.95</v>
      </c>
      <c r="H26">
        <f t="shared" si="3"/>
        <v>-2.0280656658447624E-2</v>
      </c>
      <c r="O26">
        <v>2000</v>
      </c>
      <c r="P26">
        <v>-14.65</v>
      </c>
      <c r="BE26" s="39"/>
      <c r="BF26" s="26"/>
      <c r="BG26" s="26"/>
      <c r="BK26" t="s">
        <v>118</v>
      </c>
      <c r="BL26">
        <f t="shared" si="0"/>
        <v>8.1872830431990202</v>
      </c>
      <c r="BM26">
        <v>-2.3195572174242698</v>
      </c>
      <c r="BN26">
        <v>3.8092368052500297E-2</v>
      </c>
      <c r="BO26" s="4">
        <f t="shared" si="1"/>
        <v>-5.958953771138833</v>
      </c>
      <c r="BP26">
        <v>-1.7739889430946101</v>
      </c>
      <c r="BQ26">
        <v>-5.4619376229632</v>
      </c>
      <c r="BR26">
        <v>0.497016148175633</v>
      </c>
    </row>
    <row r="27" spans="1:81" x14ac:dyDescent="0.45">
      <c r="A27" s="1" vm="73">
        <v>44986</v>
      </c>
      <c r="B27" s="19" vm="74">
        <v>865.35</v>
      </c>
      <c r="D27">
        <f t="shared" si="2"/>
        <v>0.3413159730295281</v>
      </c>
      <c r="F27" s="1" vm="73">
        <v>44986</v>
      </c>
      <c r="G27" s="19" vm="75">
        <v>17359.75</v>
      </c>
      <c r="H27">
        <f t="shared" si="3"/>
        <v>3.2246972512056074E-3</v>
      </c>
      <c r="O27" t="s">
        <v>119</v>
      </c>
      <c r="BE27" s="39"/>
      <c r="BF27" s="26"/>
      <c r="BG27" s="26"/>
      <c r="BK27" t="s">
        <v>120</v>
      </c>
      <c r="BL27">
        <f t="shared" si="0"/>
        <v>33.566538378987246</v>
      </c>
      <c r="BM27">
        <v>-2.51465412550046</v>
      </c>
      <c r="BN27">
        <v>1.1720530833486</v>
      </c>
      <c r="BO27" s="4">
        <f t="shared" si="1"/>
        <v>-0.33502743729891804</v>
      </c>
      <c r="BP27">
        <v>1.2648428289762501</v>
      </c>
      <c r="BQ27">
        <v>0.23003148666664899</v>
      </c>
      <c r="BR27">
        <v>0.56505892396556701</v>
      </c>
    </row>
    <row r="28" spans="1:81" x14ac:dyDescent="0.45">
      <c r="A28" s="1" vm="76">
        <v>45017</v>
      </c>
      <c r="B28" s="19" vm="77">
        <v>1129.3</v>
      </c>
      <c r="D28">
        <f t="shared" si="2"/>
        <v>0.3050210897324781</v>
      </c>
      <c r="F28" s="1" vm="76">
        <v>45017</v>
      </c>
      <c r="G28" s="19" vm="78">
        <v>18065</v>
      </c>
      <c r="H28">
        <f t="shared" si="3"/>
        <v>4.0625585045867593E-2</v>
      </c>
      <c r="O28" s="34" t="s">
        <v>121</v>
      </c>
      <c r="P28" s="34"/>
      <c r="Q28" s="34"/>
      <c r="R28" s="34"/>
      <c r="BE28" s="39"/>
      <c r="BF28" s="26"/>
      <c r="BG28" s="26"/>
    </row>
    <row r="29" spans="1:81" x14ac:dyDescent="0.45">
      <c r="A29" s="1" vm="79">
        <v>45047</v>
      </c>
      <c r="B29" s="19" vm="80">
        <v>1166</v>
      </c>
      <c r="D29">
        <f t="shared" si="2"/>
        <v>3.2498007615336978E-2</v>
      </c>
      <c r="F29" s="1" vm="79">
        <v>45047</v>
      </c>
      <c r="G29" s="19" vm="81">
        <v>18534.400000000001</v>
      </c>
      <c r="H29">
        <f t="shared" si="3"/>
        <v>2.5983946858566368E-2</v>
      </c>
      <c r="BE29" s="44" t="s">
        <v>122</v>
      </c>
      <c r="BF29" s="45"/>
      <c r="BG29" s="45"/>
      <c r="BH29" s="45"/>
    </row>
    <row r="30" spans="1:81" x14ac:dyDescent="0.45">
      <c r="A30" s="1" vm="82">
        <v>45078</v>
      </c>
      <c r="B30" s="19" vm="83">
        <v>1030</v>
      </c>
      <c r="D30">
        <f t="shared" si="2"/>
        <v>-0.11663807890222985</v>
      </c>
      <c r="F30" s="1" vm="82">
        <v>45078</v>
      </c>
      <c r="G30" s="19" vm="84">
        <v>19189.05</v>
      </c>
      <c r="H30">
        <f t="shared" si="3"/>
        <v>3.5320808874309273E-2</v>
      </c>
      <c r="BE30" s="45"/>
      <c r="BF30" s="45"/>
      <c r="BG30" s="45"/>
      <c r="BH30" s="45"/>
    </row>
    <row r="31" spans="1:81" x14ac:dyDescent="0.45">
      <c r="A31" s="1" vm="85">
        <v>45108</v>
      </c>
      <c r="B31" s="19" vm="86">
        <v>974.9</v>
      </c>
      <c r="D31">
        <f t="shared" si="2"/>
        <v>-5.3495145631067983E-2</v>
      </c>
      <c r="F31" s="1" vm="85">
        <v>45108</v>
      </c>
      <c r="G31" s="19" vm="87">
        <v>19753.8</v>
      </c>
      <c r="H31">
        <f t="shared" si="3"/>
        <v>2.9430847280089427E-2</v>
      </c>
      <c r="BE31" s="45"/>
      <c r="BF31" s="45"/>
      <c r="BG31" s="45"/>
      <c r="BH31" s="45"/>
      <c r="BN31" s="4"/>
      <c r="BO31" s="4"/>
      <c r="BR31" s="4"/>
    </row>
    <row r="32" spans="1:81" x14ac:dyDescent="0.45">
      <c r="A32" s="1" vm="88">
        <v>45139</v>
      </c>
      <c r="B32" s="19" vm="89">
        <v>1004.95</v>
      </c>
      <c r="D32">
        <f t="shared" si="2"/>
        <v>3.08236742229973E-2</v>
      </c>
      <c r="F32" s="1" vm="88">
        <v>45139</v>
      </c>
      <c r="G32" s="19" vm="90">
        <v>19253.8</v>
      </c>
      <c r="H32">
        <f t="shared" si="3"/>
        <v>-2.5311585618969516E-2</v>
      </c>
      <c r="BE32" s="45"/>
      <c r="BF32" s="45"/>
      <c r="BG32" s="45"/>
      <c r="BH32" s="45"/>
    </row>
    <row r="33" spans="1:60" x14ac:dyDescent="0.45">
      <c r="A33" s="1" vm="91">
        <v>45170</v>
      </c>
      <c r="B33" s="19" vm="92">
        <v>884.85</v>
      </c>
      <c r="D33">
        <f t="shared" si="2"/>
        <v>-0.11950843325538586</v>
      </c>
      <c r="F33" s="1" vm="91">
        <v>45170</v>
      </c>
      <c r="G33" s="19" vm="93">
        <v>19638.3</v>
      </c>
      <c r="H33">
        <f t="shared" si="3"/>
        <v>1.9970083827608058E-2</v>
      </c>
      <c r="BE33" s="45"/>
      <c r="BF33" s="45"/>
      <c r="BG33" s="45"/>
      <c r="BH33" s="45"/>
    </row>
    <row r="34" spans="1:60" x14ac:dyDescent="0.45">
      <c r="A34" s="1" vm="94">
        <v>45200</v>
      </c>
      <c r="B34" s="19" vm="95">
        <v>883.55</v>
      </c>
      <c r="D34">
        <f t="shared" si="2"/>
        <v>-1.4691755664802714E-3</v>
      </c>
      <c r="F34" s="1" vm="94">
        <v>45200</v>
      </c>
      <c r="G34" s="19" vm="96">
        <v>19079.599999999999</v>
      </c>
      <c r="H34">
        <f t="shared" si="3"/>
        <v>-2.8449509377084611E-2</v>
      </c>
    </row>
    <row r="35" spans="1:60" x14ac:dyDescent="0.45">
      <c r="A35" s="1" vm="97">
        <v>45231</v>
      </c>
      <c r="B35" s="19" vm="98">
        <v>986.6</v>
      </c>
      <c r="D35">
        <f t="shared" si="2"/>
        <v>0.1166317695659556</v>
      </c>
      <c r="F35" s="1" vm="97">
        <v>45231</v>
      </c>
      <c r="G35" s="19" vm="99">
        <v>20133.150000000001</v>
      </c>
      <c r="H35">
        <f t="shared" si="3"/>
        <v>5.5218662865049742E-2</v>
      </c>
      <c r="BE35" s="43" t="s">
        <v>123</v>
      </c>
      <c r="BF35" s="43"/>
      <c r="BG35" s="43"/>
    </row>
    <row r="36" spans="1:60" x14ac:dyDescent="0.45">
      <c r="A36" s="1" vm="100">
        <v>45261</v>
      </c>
      <c r="B36" s="19" vm="101">
        <v>1052.05</v>
      </c>
      <c r="D36">
        <f t="shared" si="2"/>
        <v>6.6338941820393196E-2</v>
      </c>
      <c r="F36" s="1" vm="100">
        <v>45261</v>
      </c>
      <c r="G36" s="19" vm="102">
        <v>21731.4</v>
      </c>
      <c r="H36">
        <f t="shared" si="3"/>
        <v>7.9384001013254255E-2</v>
      </c>
      <c r="BE36" s="43" t="s">
        <v>124</v>
      </c>
      <c r="BF36" s="43"/>
      <c r="BG36" s="43"/>
    </row>
    <row r="37" spans="1:60" x14ac:dyDescent="0.45">
      <c r="A37" s="1" vm="103">
        <v>45292</v>
      </c>
      <c r="B37" s="19" vm="104">
        <v>949.3</v>
      </c>
      <c r="D37">
        <f t="shared" si="2"/>
        <v>-9.7666460719547557E-2</v>
      </c>
      <c r="F37" s="1" vm="103">
        <v>45292</v>
      </c>
      <c r="G37" s="19" vm="105">
        <v>21725.7</v>
      </c>
      <c r="H37">
        <f t="shared" si="3"/>
        <v>-2.6229327148737439E-4</v>
      </c>
      <c r="BE37" s="43" t="s">
        <v>125</v>
      </c>
      <c r="BF37" s="43"/>
      <c r="BG37" s="43"/>
      <c r="BH37" s="43"/>
    </row>
    <row r="38" spans="1:60" x14ac:dyDescent="0.45">
      <c r="A38" s="1" vm="106">
        <v>45323</v>
      </c>
      <c r="B38" s="19" vm="107">
        <v>956.3</v>
      </c>
      <c r="D38">
        <f t="shared" si="2"/>
        <v>7.3738544190456133E-3</v>
      </c>
      <c r="F38" s="1" vm="106">
        <v>45323</v>
      </c>
      <c r="G38" s="19" vm="108">
        <v>21982.799999999999</v>
      </c>
      <c r="H38">
        <f t="shared" si="3"/>
        <v>1.1833910990209685E-2</v>
      </c>
    </row>
    <row r="39" spans="1:60" x14ac:dyDescent="0.45">
      <c r="A39" s="1" vm="109">
        <v>45352</v>
      </c>
      <c r="B39" s="19" vm="110">
        <v>870.45</v>
      </c>
      <c r="D39">
        <f t="shared" si="2"/>
        <v>-8.9773083760326167E-2</v>
      </c>
      <c r="F39" s="1" vm="109">
        <v>45352</v>
      </c>
      <c r="G39" s="19" vm="111">
        <v>22326.9</v>
      </c>
      <c r="H39">
        <f t="shared" si="3"/>
        <v>1.5653147005841032E-2</v>
      </c>
    </row>
    <row r="40" spans="1:60" x14ac:dyDescent="0.45">
      <c r="A40" s="1" vm="112">
        <v>45383</v>
      </c>
      <c r="B40" s="19" vm="113">
        <v>832.55</v>
      </c>
      <c r="D40">
        <f t="shared" si="2"/>
        <v>-4.3540697340456187E-2</v>
      </c>
      <c r="F40" s="1" vm="112">
        <v>45383</v>
      </c>
      <c r="G40" s="19" vm="114">
        <v>22604.85</v>
      </c>
      <c r="H40">
        <f t="shared" si="3"/>
        <v>1.2449108474530592E-2</v>
      </c>
    </row>
    <row r="41" spans="1:60" x14ac:dyDescent="0.45">
      <c r="A41" s="1" vm="115">
        <v>45413</v>
      </c>
      <c r="B41" s="19" vm="116">
        <v>762.65</v>
      </c>
      <c r="D41">
        <f t="shared" si="2"/>
        <v>-8.3958921386102919E-2</v>
      </c>
      <c r="F41" s="1" vm="115">
        <v>45413</v>
      </c>
      <c r="G41" s="19" vm="117">
        <v>22530.7</v>
      </c>
      <c r="H41">
        <f t="shared" si="3"/>
        <v>-3.2802694996869179E-3</v>
      </c>
    </row>
    <row r="42" spans="1:60" x14ac:dyDescent="0.45">
      <c r="A42" s="1" vm="118">
        <v>45444</v>
      </c>
      <c r="B42" s="19" vm="119">
        <v>764.75</v>
      </c>
      <c r="D42">
        <f t="shared" si="2"/>
        <v>2.7535566773749724E-3</v>
      </c>
      <c r="F42" s="1" vm="118">
        <v>45444</v>
      </c>
      <c r="G42" s="19" vm="120">
        <v>24010.6</v>
      </c>
      <c r="H42">
        <f t="shared" si="3"/>
        <v>6.5683711558007424E-2</v>
      </c>
    </row>
    <row r="43" spans="1:60" x14ac:dyDescent="0.45">
      <c r="A43" s="1" vm="121">
        <v>45474</v>
      </c>
      <c r="B43" s="19" vm="122">
        <v>783.95</v>
      </c>
      <c r="D43">
        <f t="shared" si="2"/>
        <v>2.510624387054599E-2</v>
      </c>
      <c r="F43" s="1" vm="121">
        <v>45474</v>
      </c>
      <c r="G43" s="19" vm="123">
        <v>24951.15</v>
      </c>
      <c r="H43">
        <f t="shared" si="3"/>
        <v>3.9172282242009901E-2</v>
      </c>
    </row>
    <row r="44" spans="1:60" x14ac:dyDescent="0.45">
      <c r="A44" s="1" vm="124">
        <v>45505</v>
      </c>
      <c r="B44" s="19" vm="125">
        <v>778.8</v>
      </c>
      <c r="D44">
        <f t="shared" si="2"/>
        <v>-6.5692965112572107E-3</v>
      </c>
      <c r="F44" s="1" vm="124">
        <v>45505</v>
      </c>
      <c r="G44" s="19" vm="126">
        <v>25235.9</v>
      </c>
      <c r="H44">
        <f t="shared" si="3"/>
        <v>1.1412299633483827E-2</v>
      </c>
    </row>
    <row r="45" spans="1:60" x14ac:dyDescent="0.45">
      <c r="A45" s="1" vm="127">
        <v>45536</v>
      </c>
      <c r="B45" s="19" vm="128">
        <v>736.95</v>
      </c>
      <c r="D45">
        <f t="shared" si="2"/>
        <v>-5.3736517719568451E-2</v>
      </c>
      <c r="F45" s="1" vm="127">
        <v>45536</v>
      </c>
      <c r="G45" s="19" vm="129">
        <v>25810.85</v>
      </c>
      <c r="H45">
        <f t="shared" si="3"/>
        <v>2.2783019428670944E-2</v>
      </c>
    </row>
    <row r="46" spans="1:60" x14ac:dyDescent="0.45">
      <c r="A46" s="1" vm="130">
        <v>45566</v>
      </c>
      <c r="B46" s="19" vm="131">
        <v>733.4</v>
      </c>
      <c r="D46">
        <f t="shared" si="2"/>
        <v>-4.8171517742045837E-3</v>
      </c>
      <c r="F46" s="1" vm="130">
        <v>45566</v>
      </c>
      <c r="G46" s="19" vm="132">
        <v>24205.35</v>
      </c>
      <c r="H46">
        <f t="shared" si="3"/>
        <v>-6.2202523357425273E-2</v>
      </c>
    </row>
    <row r="47" spans="1:60" x14ac:dyDescent="0.45">
      <c r="A47" s="1" vm="133">
        <v>45597</v>
      </c>
      <c r="B47" s="19" vm="134">
        <v>723.3</v>
      </c>
      <c r="D47">
        <f t="shared" si="2"/>
        <v>-1.3771475320425447E-2</v>
      </c>
      <c r="F47" s="1" vm="133">
        <v>45597</v>
      </c>
      <c r="G47" s="19" vm="135">
        <v>23559.05</v>
      </c>
      <c r="H47">
        <f t="shared" si="3"/>
        <v>-2.6700708727615974E-2</v>
      </c>
    </row>
  </sheetData>
  <mergeCells count="33">
    <mergeCell ref="BE37:BH37"/>
    <mergeCell ref="BE25:BE28"/>
    <mergeCell ref="BE29:BH33"/>
    <mergeCell ref="BE35:BG35"/>
    <mergeCell ref="BE36:BG36"/>
    <mergeCell ref="BM2:BP2"/>
    <mergeCell ref="BQ2:BQ3"/>
    <mergeCell ref="BR2:BR3"/>
    <mergeCell ref="AX15:AZ15"/>
    <mergeCell ref="U3:U4"/>
    <mergeCell ref="AS1:AU4"/>
    <mergeCell ref="AS5:AU5"/>
    <mergeCell ref="AH2:AK6"/>
    <mergeCell ref="AM1:AN1"/>
    <mergeCell ref="AP1:AQ1"/>
    <mergeCell ref="AP5:AP6"/>
    <mergeCell ref="AA1:AB1"/>
    <mergeCell ref="BE1:BH1"/>
    <mergeCell ref="BE14:BI15"/>
    <mergeCell ref="AX11:AZ11"/>
    <mergeCell ref="AX8:AZ9"/>
    <mergeCell ref="AX14:AZ14"/>
    <mergeCell ref="AX12:AZ12"/>
    <mergeCell ref="AX5:AZ5"/>
    <mergeCell ref="AX6:AZ6"/>
    <mergeCell ref="AX7:AZ7"/>
    <mergeCell ref="AX10:AZ10"/>
    <mergeCell ref="A1:C1"/>
    <mergeCell ref="F1:G1"/>
    <mergeCell ref="O1:Q1"/>
    <mergeCell ref="O28:R28"/>
    <mergeCell ref="X1:Y1"/>
    <mergeCell ref="S1:S2"/>
  </mergeCells>
  <hyperlinks>
    <hyperlink ref="O28" r:id="rId1" xr:uid="{1E188D41-7A4D-4D6E-BD58-3A2F6EBFB85A}"/>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BB134-1CD5-462C-9E9D-30BFBE0C0276}">
  <dimension ref="A1:U195"/>
  <sheetViews>
    <sheetView workbookViewId="0">
      <selection activeCell="M19" sqref="M19"/>
    </sheetView>
  </sheetViews>
  <sheetFormatPr defaultRowHeight="14.25" x14ac:dyDescent="0.45"/>
  <cols>
    <col min="1" max="1" width="11.1328125" bestFit="1" customWidth="1"/>
    <col min="6" max="6" width="11.1328125" bestFit="1" customWidth="1"/>
    <col min="7" max="7" width="12.1328125" bestFit="1" customWidth="1"/>
    <col min="19" max="19" width="14.1328125" bestFit="1" customWidth="1"/>
    <col min="20" max="20" width="14.33203125" bestFit="1" customWidth="1"/>
    <col min="21" max="21" width="13" bestFit="1" customWidth="1"/>
  </cols>
  <sheetData>
    <row r="1" spans="1:21" x14ac:dyDescent="0.45">
      <c r="A1" s="33" t="s">
        <v>126</v>
      </c>
      <c r="B1" s="33"/>
      <c r="C1" s="33"/>
      <c r="D1" s="29" t="s">
        <v>1</v>
      </c>
      <c r="F1" s="33" t="s">
        <v>2</v>
      </c>
      <c r="G1" s="33"/>
      <c r="H1" s="29" t="s">
        <v>3</v>
      </c>
      <c r="O1" s="33" t="s">
        <v>127</v>
      </c>
      <c r="P1" s="33"/>
      <c r="Q1" s="33"/>
      <c r="S1" s="29" t="s">
        <v>128</v>
      </c>
      <c r="T1" t="s">
        <v>6</v>
      </c>
      <c r="U1" s="26" t="s">
        <v>129</v>
      </c>
    </row>
    <row r="2" spans="1:21" x14ac:dyDescent="0.45">
      <c r="A2" t="s">
        <v>13</v>
      </c>
      <c r="B2" t="s">
        <v>14</v>
      </c>
      <c r="F2" t="s">
        <v>13</v>
      </c>
      <c r="G2" t="s">
        <v>14</v>
      </c>
      <c r="J2" t="s">
        <v>15</v>
      </c>
      <c r="K2" t="s">
        <v>16</v>
      </c>
      <c r="L2" s="26" t="s">
        <v>17</v>
      </c>
      <c r="O2">
        <v>2024</v>
      </c>
      <c r="T2" t="s">
        <v>18</v>
      </c>
      <c r="U2" s="26" t="s">
        <v>130</v>
      </c>
    </row>
    <row r="3" spans="1:21" x14ac:dyDescent="0.45">
      <c r="A3" vm="136">
        <v>44279</v>
      </c>
      <c r="B3" vm="137">
        <v>495.7</v>
      </c>
      <c r="F3" vm="138">
        <v>44277</v>
      </c>
      <c r="G3" vm="139">
        <v>14507.3</v>
      </c>
      <c r="J3">
        <f>_xlfn.COVARIANCE.P(D4:D195,H4:H195)</f>
        <v>2.0553314812149753E-4</v>
      </c>
      <c r="K3">
        <f>_xlfn.VAR.P(H4:H195)</f>
        <v>3.1883115564613357E-4</v>
      </c>
      <c r="L3" s="26">
        <f>J3/K3</f>
        <v>0.6446457458179401</v>
      </c>
      <c r="O3">
        <v>2023</v>
      </c>
      <c r="P3">
        <v>19.420000000000002</v>
      </c>
      <c r="S3">
        <v>15.60916667</v>
      </c>
      <c r="T3">
        <v>6.5</v>
      </c>
      <c r="U3" s="26">
        <f>U4*100</f>
        <v>12.372185541762072</v>
      </c>
    </row>
    <row r="4" spans="1:21" x14ac:dyDescent="0.45">
      <c r="A4" vm="140">
        <v>44285</v>
      </c>
      <c r="B4" vm="141">
        <v>516.95000000000005</v>
      </c>
      <c r="D4">
        <f>(B4-B3)/B3</f>
        <v>4.2868670566875239E-2</v>
      </c>
      <c r="F4" vm="140">
        <v>44285</v>
      </c>
      <c r="G4" vm="142">
        <v>14867.35</v>
      </c>
      <c r="H4">
        <f>(G4-G3)/G3</f>
        <v>2.4818539631771667E-2</v>
      </c>
      <c r="O4">
        <v>2022</v>
      </c>
      <c r="P4">
        <v>4.32</v>
      </c>
      <c r="S4">
        <f>S3/100</f>
        <v>0.15609166669999999</v>
      </c>
      <c r="T4">
        <f>T3/100</f>
        <v>6.5000000000000002E-2</v>
      </c>
      <c r="U4" s="26">
        <f>T4+L3*(S4-T4)</f>
        <v>0.12372185541762071</v>
      </c>
    </row>
    <row r="5" spans="1:21" x14ac:dyDescent="0.45">
      <c r="A5" vm="143">
        <v>44291</v>
      </c>
      <c r="B5" vm="144">
        <v>555.25</v>
      </c>
      <c r="D5">
        <f t="shared" ref="D5:D68" si="0">(B5-B4)/B4</f>
        <v>7.408840313376526E-2</v>
      </c>
      <c r="F5" vm="143">
        <v>44291</v>
      </c>
      <c r="G5" vm="145">
        <v>14834.85</v>
      </c>
      <c r="H5">
        <f t="shared" ref="H5:H68" si="1">(G5-G4)/G4</f>
        <v>-2.1859981772138276E-3</v>
      </c>
      <c r="O5">
        <v>2021</v>
      </c>
      <c r="P5">
        <v>24.12</v>
      </c>
    </row>
    <row r="6" spans="1:21" x14ac:dyDescent="0.45">
      <c r="A6" vm="146">
        <v>44298</v>
      </c>
      <c r="B6" vm="147">
        <v>579.95000000000005</v>
      </c>
      <c r="D6">
        <f t="shared" si="0"/>
        <v>4.4484466456551186E-2</v>
      </c>
      <c r="F6" vm="146">
        <v>44298</v>
      </c>
      <c r="G6" vm="148">
        <v>14617.85</v>
      </c>
      <c r="H6">
        <f t="shared" si="1"/>
        <v>-1.4627717840086013E-2</v>
      </c>
      <c r="O6">
        <v>2020</v>
      </c>
      <c r="P6">
        <v>14.9</v>
      </c>
    </row>
    <row r="7" spans="1:21" x14ac:dyDescent="0.45">
      <c r="A7" vm="149">
        <v>44305</v>
      </c>
      <c r="B7" vm="150">
        <v>590</v>
      </c>
      <c r="D7">
        <f t="shared" si="0"/>
        <v>1.7329080093111394E-2</v>
      </c>
      <c r="F7" vm="149">
        <v>44305</v>
      </c>
      <c r="G7" vm="151">
        <v>14341.35</v>
      </c>
      <c r="H7">
        <f t="shared" si="1"/>
        <v>-1.8915230351932738E-2</v>
      </c>
      <c r="O7">
        <v>2019</v>
      </c>
      <c r="P7">
        <v>12.02</v>
      </c>
    </row>
    <row r="8" spans="1:21" x14ac:dyDescent="0.45">
      <c r="A8" vm="152">
        <v>44312</v>
      </c>
      <c r="B8" vm="5">
        <v>624.25</v>
      </c>
      <c r="D8">
        <f t="shared" si="0"/>
        <v>5.8050847457627119E-2</v>
      </c>
      <c r="F8" vm="152">
        <v>44312</v>
      </c>
      <c r="G8" vm="6">
        <v>14631.1</v>
      </c>
      <c r="H8">
        <f t="shared" si="1"/>
        <v>2.0203816237662424E-2</v>
      </c>
      <c r="O8">
        <v>2018</v>
      </c>
      <c r="P8">
        <v>3.15</v>
      </c>
    </row>
    <row r="9" spans="1:21" x14ac:dyDescent="0.45">
      <c r="A9" vm="153">
        <v>44319</v>
      </c>
      <c r="B9" vm="154">
        <v>721.1</v>
      </c>
      <c r="D9">
        <f t="shared" si="0"/>
        <v>0.15514617541049264</v>
      </c>
      <c r="F9" vm="153">
        <v>44319</v>
      </c>
      <c r="G9" vm="155">
        <v>14823.15</v>
      </c>
      <c r="H9">
        <f t="shared" si="1"/>
        <v>1.3126149093369554E-2</v>
      </c>
      <c r="O9">
        <v>2017</v>
      </c>
      <c r="P9">
        <v>28.65</v>
      </c>
    </row>
    <row r="10" spans="1:21" x14ac:dyDescent="0.45">
      <c r="A10" vm="156">
        <v>44326</v>
      </c>
      <c r="B10" vm="157">
        <v>734.45</v>
      </c>
      <c r="D10">
        <f t="shared" si="0"/>
        <v>1.851338233254753E-2</v>
      </c>
      <c r="F10" vm="156">
        <v>44326</v>
      </c>
      <c r="G10" vm="158">
        <v>14677.8</v>
      </c>
      <c r="H10">
        <f t="shared" si="1"/>
        <v>-9.8056081197316607E-3</v>
      </c>
      <c r="O10">
        <v>2016</v>
      </c>
      <c r="P10">
        <v>3.01</v>
      </c>
    </row>
    <row r="11" spans="1:21" x14ac:dyDescent="0.45">
      <c r="A11" vm="159">
        <v>44333</v>
      </c>
      <c r="B11" vm="160">
        <v>769.4</v>
      </c>
      <c r="D11">
        <f t="shared" si="0"/>
        <v>4.7586629450609201E-2</v>
      </c>
      <c r="F11" vm="159">
        <v>44333</v>
      </c>
      <c r="G11" vm="161">
        <v>15175.3</v>
      </c>
      <c r="H11">
        <f t="shared" si="1"/>
        <v>3.3894725367561898E-2</v>
      </c>
      <c r="O11">
        <v>2015</v>
      </c>
      <c r="P11">
        <v>-4.0599999999999996</v>
      </c>
    </row>
    <row r="12" spans="1:21" x14ac:dyDescent="0.45">
      <c r="A12" vm="162">
        <v>44340</v>
      </c>
      <c r="B12" vm="163">
        <v>761.5</v>
      </c>
      <c r="D12">
        <f t="shared" si="0"/>
        <v>-1.0267741096958639E-2</v>
      </c>
      <c r="F12" vm="162">
        <v>44340</v>
      </c>
      <c r="G12" vm="164">
        <v>15435.65</v>
      </c>
      <c r="H12">
        <f t="shared" si="1"/>
        <v>1.7156168247085751E-2</v>
      </c>
      <c r="O12">
        <v>2014</v>
      </c>
      <c r="P12">
        <v>31.39</v>
      </c>
    </row>
    <row r="13" spans="1:21" x14ac:dyDescent="0.45">
      <c r="A13" vm="165">
        <v>44347</v>
      </c>
      <c r="B13" vm="166">
        <v>769.25</v>
      </c>
      <c r="D13">
        <f t="shared" si="0"/>
        <v>1.0177281680892974E-2</v>
      </c>
      <c r="F13" vm="165">
        <v>44347</v>
      </c>
      <c r="G13" vm="167">
        <v>15670.25</v>
      </c>
      <c r="H13">
        <f t="shared" si="1"/>
        <v>1.519858250219462E-2</v>
      </c>
      <c r="O13">
        <v>2013</v>
      </c>
      <c r="P13">
        <v>6.76</v>
      </c>
    </row>
    <row r="14" spans="1:21" x14ac:dyDescent="0.45">
      <c r="A14" vm="168">
        <v>44354</v>
      </c>
      <c r="B14" vm="169">
        <v>777.65</v>
      </c>
      <c r="D14">
        <f t="shared" si="0"/>
        <v>1.09197270068248E-2</v>
      </c>
      <c r="F14" vm="168">
        <v>44354</v>
      </c>
      <c r="G14" vm="170">
        <v>15799.35</v>
      </c>
      <c r="H14">
        <f t="shared" si="1"/>
        <v>8.2385411847290483E-3</v>
      </c>
      <c r="O14">
        <v>2012</v>
      </c>
      <c r="P14">
        <v>27.7</v>
      </c>
    </row>
    <row r="15" spans="1:21" x14ac:dyDescent="0.45">
      <c r="A15" vm="171">
        <v>44361</v>
      </c>
      <c r="B15" vm="172">
        <v>733.2</v>
      </c>
      <c r="D15">
        <f t="shared" si="0"/>
        <v>-5.7159390471291628E-2</v>
      </c>
      <c r="F15" vm="171">
        <v>44361</v>
      </c>
      <c r="G15" vm="173">
        <v>15683.35</v>
      </c>
      <c r="H15">
        <f t="shared" si="1"/>
        <v>-7.3420741992550323E-3</v>
      </c>
      <c r="O15">
        <v>2011</v>
      </c>
      <c r="P15">
        <v>-24.62</v>
      </c>
    </row>
    <row r="16" spans="1:21" x14ac:dyDescent="0.45">
      <c r="A16" vm="174">
        <v>44368</v>
      </c>
      <c r="B16" vm="175">
        <v>745.25</v>
      </c>
      <c r="D16">
        <f t="shared" si="0"/>
        <v>1.6434806328423288E-2</v>
      </c>
      <c r="F16" vm="174">
        <v>44368</v>
      </c>
      <c r="G16" vm="176">
        <v>15860.35</v>
      </c>
      <c r="H16">
        <f t="shared" si="1"/>
        <v>1.1285854106424966E-2</v>
      </c>
      <c r="O16">
        <v>2010</v>
      </c>
      <c r="P16">
        <v>17.95</v>
      </c>
    </row>
    <row r="17" spans="1:18" x14ac:dyDescent="0.45">
      <c r="A17" vm="177">
        <v>44375</v>
      </c>
      <c r="B17" vm="178">
        <v>757.95</v>
      </c>
      <c r="D17">
        <f t="shared" si="0"/>
        <v>1.7041261321704186E-2</v>
      </c>
      <c r="F17" vm="177">
        <v>44375</v>
      </c>
      <c r="G17" vm="179">
        <v>15722.2</v>
      </c>
      <c r="H17">
        <f t="shared" si="1"/>
        <v>-8.7104004640502653E-3</v>
      </c>
      <c r="O17">
        <v>2009</v>
      </c>
      <c r="P17">
        <v>75.760000000000005</v>
      </c>
    </row>
    <row r="18" spans="1:18" x14ac:dyDescent="0.45">
      <c r="A18" vm="180">
        <v>44382</v>
      </c>
      <c r="B18" vm="181">
        <v>812.45</v>
      </c>
      <c r="D18">
        <f t="shared" si="0"/>
        <v>7.1904479187281475E-2</v>
      </c>
      <c r="F18" vm="180">
        <v>44382</v>
      </c>
      <c r="G18" vm="182">
        <v>15689.8</v>
      </c>
      <c r="H18">
        <f t="shared" si="1"/>
        <v>-2.0607802979227749E-3</v>
      </c>
      <c r="O18">
        <v>2008</v>
      </c>
      <c r="P18">
        <v>-51.79</v>
      </c>
    </row>
    <row r="19" spans="1:18" x14ac:dyDescent="0.45">
      <c r="A19" vm="183">
        <v>44389</v>
      </c>
      <c r="B19" vm="184">
        <v>814.35</v>
      </c>
      <c r="D19">
        <f t="shared" si="0"/>
        <v>2.3386054526432117E-3</v>
      </c>
      <c r="F19" vm="183">
        <v>44389</v>
      </c>
      <c r="G19" vm="185">
        <v>15923.4</v>
      </c>
      <c r="H19">
        <f t="shared" si="1"/>
        <v>1.4888653775064079E-2</v>
      </c>
      <c r="O19">
        <v>2007</v>
      </c>
      <c r="P19">
        <v>54.77</v>
      </c>
    </row>
    <row r="20" spans="1:18" x14ac:dyDescent="0.45">
      <c r="A20" vm="186">
        <v>44396</v>
      </c>
      <c r="B20" vm="187">
        <v>766.3</v>
      </c>
      <c r="D20">
        <f t="shared" si="0"/>
        <v>-5.9004113710321195E-2</v>
      </c>
      <c r="F20" vm="186">
        <v>44396</v>
      </c>
      <c r="G20" vm="188">
        <v>15856.05</v>
      </c>
      <c r="H20">
        <f t="shared" si="1"/>
        <v>-4.2296243264629647E-3</v>
      </c>
      <c r="O20">
        <v>2006</v>
      </c>
      <c r="P20">
        <v>39.83</v>
      </c>
    </row>
    <row r="21" spans="1:18" x14ac:dyDescent="0.45">
      <c r="A21" vm="189">
        <v>44403</v>
      </c>
      <c r="B21" vm="14">
        <v>726.4</v>
      </c>
      <c r="D21">
        <f t="shared" si="0"/>
        <v>-5.2068380529818582E-2</v>
      </c>
      <c r="F21" vm="189">
        <v>44403</v>
      </c>
      <c r="G21" vm="15">
        <v>15763.05</v>
      </c>
      <c r="H21">
        <f t="shared" si="1"/>
        <v>-5.8652690928699142E-3</v>
      </c>
      <c r="O21">
        <v>2005</v>
      </c>
      <c r="P21">
        <v>36.340000000000003</v>
      </c>
    </row>
    <row r="22" spans="1:18" x14ac:dyDescent="0.45">
      <c r="A22" vm="190">
        <v>44410</v>
      </c>
      <c r="B22" vm="191">
        <v>712.4</v>
      </c>
      <c r="D22">
        <f t="shared" si="0"/>
        <v>-1.9273127753303965E-2</v>
      </c>
      <c r="F22" vm="190">
        <v>44410</v>
      </c>
      <c r="G22" vm="192">
        <v>16238.2</v>
      </c>
      <c r="H22">
        <f t="shared" si="1"/>
        <v>3.0143278109249255E-2</v>
      </c>
      <c r="O22">
        <v>2004</v>
      </c>
      <c r="P22">
        <v>10.68</v>
      </c>
    </row>
    <row r="23" spans="1:18" x14ac:dyDescent="0.45">
      <c r="A23" vm="193">
        <v>44417</v>
      </c>
      <c r="B23" vm="194">
        <v>754.15</v>
      </c>
      <c r="D23">
        <f t="shared" si="0"/>
        <v>5.8604716451431782E-2</v>
      </c>
      <c r="F23" vm="193">
        <v>44417</v>
      </c>
      <c r="G23" vm="195">
        <v>16529.099999999999</v>
      </c>
      <c r="H23">
        <f t="shared" si="1"/>
        <v>1.791454717887437E-2</v>
      </c>
      <c r="O23">
        <v>2003</v>
      </c>
      <c r="P23">
        <v>71.900000000000006</v>
      </c>
    </row>
    <row r="24" spans="1:18" x14ac:dyDescent="0.45">
      <c r="A24" vm="196">
        <v>44424</v>
      </c>
      <c r="B24" vm="197">
        <v>730.05</v>
      </c>
      <c r="D24">
        <f t="shared" si="0"/>
        <v>-3.1956507326128786E-2</v>
      </c>
      <c r="F24" vm="196">
        <v>44424</v>
      </c>
      <c r="G24" vm="198">
        <v>16450.5</v>
      </c>
      <c r="H24">
        <f t="shared" si="1"/>
        <v>-4.7552498321141836E-3</v>
      </c>
      <c r="O24">
        <v>2002</v>
      </c>
      <c r="P24">
        <v>3.25</v>
      </c>
    </row>
    <row r="25" spans="1:18" x14ac:dyDescent="0.45">
      <c r="A25" vm="199">
        <v>44431</v>
      </c>
      <c r="B25" vm="200">
        <v>736.9</v>
      </c>
      <c r="D25">
        <f t="shared" si="0"/>
        <v>9.3829189781522125E-3</v>
      </c>
      <c r="F25" vm="201">
        <v>44432</v>
      </c>
      <c r="G25" vm="202">
        <v>16705.2</v>
      </c>
      <c r="H25">
        <f t="shared" si="1"/>
        <v>1.5482812072581426E-2</v>
      </c>
      <c r="O25">
        <v>2001</v>
      </c>
      <c r="P25">
        <v>-16.18</v>
      </c>
    </row>
    <row r="26" spans="1:18" x14ac:dyDescent="0.45">
      <c r="A26" vm="203">
        <v>44438</v>
      </c>
      <c r="B26" vm="204">
        <v>754.7</v>
      </c>
      <c r="D26">
        <f t="shared" si="0"/>
        <v>2.4155244945040125E-2</v>
      </c>
      <c r="F26" vm="203">
        <v>44438</v>
      </c>
      <c r="G26" vm="205">
        <v>17323.599999999999</v>
      </c>
      <c r="H26">
        <f t="shared" si="1"/>
        <v>3.7018413428153978E-2</v>
      </c>
      <c r="O26">
        <v>2000</v>
      </c>
      <c r="P26">
        <v>-14.65</v>
      </c>
    </row>
    <row r="27" spans="1:18" x14ac:dyDescent="0.45">
      <c r="A27" vm="206">
        <v>44445</v>
      </c>
      <c r="B27" vm="207">
        <v>751.4</v>
      </c>
      <c r="D27">
        <f t="shared" si="0"/>
        <v>-4.3725983834637184E-3</v>
      </c>
      <c r="F27" vm="206">
        <v>44445</v>
      </c>
      <c r="G27" vm="208">
        <v>17369.25</v>
      </c>
      <c r="H27">
        <f t="shared" si="1"/>
        <v>2.6351335750075884E-3</v>
      </c>
      <c r="O27" t="s">
        <v>119</v>
      </c>
    </row>
    <row r="28" spans="1:18" x14ac:dyDescent="0.45">
      <c r="A28" vm="209">
        <v>44452</v>
      </c>
      <c r="B28" vm="210">
        <v>761</v>
      </c>
      <c r="D28">
        <f t="shared" si="0"/>
        <v>1.2776151184455714E-2</v>
      </c>
      <c r="F28" vm="209">
        <v>44452</v>
      </c>
      <c r="G28" vm="211">
        <v>17585.150000000001</v>
      </c>
      <c r="H28">
        <f t="shared" si="1"/>
        <v>1.2430012809994758E-2</v>
      </c>
      <c r="O28" s="34" t="s">
        <v>121</v>
      </c>
      <c r="P28" s="34"/>
      <c r="Q28" s="34"/>
      <c r="R28" s="34"/>
    </row>
    <row r="29" spans="1:18" x14ac:dyDescent="0.45">
      <c r="A29" vm="212">
        <v>44459</v>
      </c>
      <c r="B29" vm="213">
        <v>758.85</v>
      </c>
      <c r="D29">
        <f t="shared" si="0"/>
        <v>-2.8252299605781568E-3</v>
      </c>
      <c r="F29" vm="212">
        <v>44459</v>
      </c>
      <c r="G29" vm="214">
        <v>17853.2</v>
      </c>
      <c r="H29">
        <f t="shared" si="1"/>
        <v>1.5242974896432459E-2</v>
      </c>
    </row>
    <row r="30" spans="1:18" x14ac:dyDescent="0.45">
      <c r="A30" vm="215">
        <v>44466</v>
      </c>
      <c r="B30" vm="216">
        <v>781.35</v>
      </c>
      <c r="D30">
        <f t="shared" si="0"/>
        <v>2.9650128483890096E-2</v>
      </c>
      <c r="F30" vm="215">
        <v>44466</v>
      </c>
      <c r="G30" vm="217">
        <v>17532.05</v>
      </c>
      <c r="H30">
        <f t="shared" si="1"/>
        <v>-1.7988371832500696E-2</v>
      </c>
    </row>
    <row r="31" spans="1:18" x14ac:dyDescent="0.45">
      <c r="A31" vm="218">
        <v>44473</v>
      </c>
      <c r="B31" vm="219">
        <v>784.2</v>
      </c>
      <c r="D31">
        <f t="shared" si="0"/>
        <v>3.6475331157612115E-3</v>
      </c>
      <c r="F31" vm="218">
        <v>44473</v>
      </c>
      <c r="G31" vm="220">
        <v>17895.2</v>
      </c>
      <c r="H31">
        <f t="shared" si="1"/>
        <v>2.0713493288006906E-2</v>
      </c>
    </row>
    <row r="32" spans="1:18" x14ac:dyDescent="0.45">
      <c r="A32" vm="221">
        <v>44480</v>
      </c>
      <c r="B32" vm="222">
        <v>813.3</v>
      </c>
      <c r="D32">
        <f t="shared" si="0"/>
        <v>3.7107880642693075E-2</v>
      </c>
      <c r="F32" vm="221">
        <v>44480</v>
      </c>
      <c r="G32" vm="223">
        <v>18338.55</v>
      </c>
      <c r="H32">
        <f t="shared" si="1"/>
        <v>2.4774799946354249E-2</v>
      </c>
    </row>
    <row r="33" spans="1:8" x14ac:dyDescent="0.45">
      <c r="A33" vm="224">
        <v>44487</v>
      </c>
      <c r="B33" vm="225">
        <v>802.35</v>
      </c>
      <c r="D33">
        <f t="shared" si="0"/>
        <v>-1.3463666543710725E-2</v>
      </c>
      <c r="F33" vm="224">
        <v>44487</v>
      </c>
      <c r="G33" vm="226">
        <v>18114.900000000001</v>
      </c>
      <c r="H33">
        <f t="shared" si="1"/>
        <v>-1.2195620700655059E-2</v>
      </c>
    </row>
    <row r="34" spans="1:8" x14ac:dyDescent="0.45">
      <c r="A34" vm="227">
        <v>44494</v>
      </c>
      <c r="B34" vm="23">
        <v>802.85</v>
      </c>
      <c r="D34">
        <f t="shared" si="0"/>
        <v>6.2316943977067368E-4</v>
      </c>
      <c r="F34" vm="227">
        <v>44494</v>
      </c>
      <c r="G34" vm="24">
        <v>17671.650000000001</v>
      </c>
      <c r="H34">
        <f t="shared" si="1"/>
        <v>-2.4468807445804281E-2</v>
      </c>
    </row>
    <row r="35" spans="1:8" x14ac:dyDescent="0.45">
      <c r="A35" vm="25">
        <v>44501</v>
      </c>
      <c r="B35" vm="228">
        <v>805.05</v>
      </c>
      <c r="D35">
        <f t="shared" si="0"/>
        <v>2.7402379024723568E-3</v>
      </c>
      <c r="F35" vm="25">
        <v>44501</v>
      </c>
      <c r="G35" vm="229">
        <v>17916.8</v>
      </c>
      <c r="H35">
        <f t="shared" si="1"/>
        <v>1.3872502001793709E-2</v>
      </c>
    </row>
    <row r="36" spans="1:8" x14ac:dyDescent="0.45">
      <c r="A36" vm="230">
        <v>44508</v>
      </c>
      <c r="B36" vm="231">
        <v>820.35</v>
      </c>
      <c r="D36">
        <f t="shared" si="0"/>
        <v>1.9005030743432169E-2</v>
      </c>
      <c r="F36" vm="230">
        <v>44508</v>
      </c>
      <c r="G36" vm="232">
        <v>18102.75</v>
      </c>
      <c r="H36">
        <f t="shared" si="1"/>
        <v>1.0378527415609972E-2</v>
      </c>
    </row>
    <row r="37" spans="1:8" x14ac:dyDescent="0.45">
      <c r="A37" vm="233">
        <v>44515</v>
      </c>
      <c r="B37" vm="234">
        <v>815.05</v>
      </c>
      <c r="D37">
        <f t="shared" si="0"/>
        <v>-6.4606570366307894E-3</v>
      </c>
      <c r="F37" vm="233">
        <v>44515</v>
      </c>
      <c r="G37" vm="235">
        <v>17764.8</v>
      </c>
      <c r="H37">
        <f t="shared" si="1"/>
        <v>-1.8668434353896549E-2</v>
      </c>
    </row>
    <row r="38" spans="1:8" x14ac:dyDescent="0.45">
      <c r="A38" vm="236">
        <v>44522</v>
      </c>
      <c r="B38" vm="237">
        <v>790.8</v>
      </c>
      <c r="D38">
        <f t="shared" si="0"/>
        <v>-2.9752775903318818E-2</v>
      </c>
      <c r="F38" vm="236">
        <v>44522</v>
      </c>
      <c r="G38" vm="238">
        <v>17026.45</v>
      </c>
      <c r="H38">
        <f t="shared" si="1"/>
        <v>-4.1562528145546167E-2</v>
      </c>
    </row>
    <row r="39" spans="1:8" x14ac:dyDescent="0.45">
      <c r="A39" vm="239">
        <v>44529</v>
      </c>
      <c r="B39" vm="240">
        <v>800.55</v>
      </c>
      <c r="D39">
        <f t="shared" si="0"/>
        <v>1.2329286798179059E-2</v>
      </c>
      <c r="F39" vm="239">
        <v>44529</v>
      </c>
      <c r="G39" vm="241">
        <v>17196.7</v>
      </c>
      <c r="H39">
        <f t="shared" si="1"/>
        <v>9.9991483838380874E-3</v>
      </c>
    </row>
    <row r="40" spans="1:8" x14ac:dyDescent="0.45">
      <c r="A40" vm="242">
        <v>44536</v>
      </c>
      <c r="B40" vm="243">
        <v>823.05</v>
      </c>
      <c r="D40">
        <f t="shared" si="0"/>
        <v>2.8105677346824062E-2</v>
      </c>
      <c r="F40" vm="242">
        <v>44536</v>
      </c>
      <c r="G40" vm="244">
        <v>17511.3</v>
      </c>
      <c r="H40">
        <f t="shared" si="1"/>
        <v>1.829420760959943E-2</v>
      </c>
    </row>
    <row r="41" spans="1:8" x14ac:dyDescent="0.45">
      <c r="A41" vm="245">
        <v>44543</v>
      </c>
      <c r="B41" vm="246">
        <v>843.4</v>
      </c>
      <c r="D41">
        <f t="shared" si="0"/>
        <v>2.4725107830630002E-2</v>
      </c>
      <c r="F41" vm="245">
        <v>44543</v>
      </c>
      <c r="G41" vm="247">
        <v>16985.2</v>
      </c>
      <c r="H41">
        <f t="shared" si="1"/>
        <v>-3.0043457653058228E-2</v>
      </c>
    </row>
    <row r="42" spans="1:8" x14ac:dyDescent="0.45">
      <c r="A42" vm="248">
        <v>44550</v>
      </c>
      <c r="B42" vm="249">
        <v>904.95</v>
      </c>
      <c r="D42">
        <f t="shared" si="0"/>
        <v>7.297842067820734E-2</v>
      </c>
      <c r="F42" vm="248">
        <v>44550</v>
      </c>
      <c r="G42" vm="250">
        <v>17003.75</v>
      </c>
      <c r="H42">
        <f t="shared" si="1"/>
        <v>1.0921272637354445E-3</v>
      </c>
    </row>
    <row r="43" spans="1:8" x14ac:dyDescent="0.45">
      <c r="A43" vm="251">
        <v>44557</v>
      </c>
      <c r="B43" vm="29">
        <v>990.75</v>
      </c>
      <c r="D43">
        <f t="shared" si="0"/>
        <v>9.4811868059008736E-2</v>
      </c>
      <c r="F43" vm="251">
        <v>44557</v>
      </c>
      <c r="G43" vm="30">
        <v>17354.05</v>
      </c>
      <c r="H43">
        <f t="shared" si="1"/>
        <v>2.0601337940160214E-2</v>
      </c>
    </row>
    <row r="44" spans="1:8" x14ac:dyDescent="0.45">
      <c r="A44" vm="252">
        <v>44564</v>
      </c>
      <c r="B44" vm="253">
        <v>1025.75</v>
      </c>
      <c r="D44">
        <f t="shared" si="0"/>
        <v>3.5326772646984611E-2</v>
      </c>
      <c r="F44" vm="252">
        <v>44564</v>
      </c>
      <c r="G44" vm="254">
        <v>17812.7</v>
      </c>
      <c r="H44">
        <f t="shared" si="1"/>
        <v>2.6428989198486894E-2</v>
      </c>
    </row>
    <row r="45" spans="1:8" x14ac:dyDescent="0.45">
      <c r="A45" vm="255">
        <v>44571</v>
      </c>
      <c r="B45" vm="256">
        <v>1019.35</v>
      </c>
      <c r="D45">
        <f t="shared" si="0"/>
        <v>-6.2393370704362438E-3</v>
      </c>
      <c r="F45" vm="255">
        <v>44571</v>
      </c>
      <c r="G45" vm="257">
        <v>18255.75</v>
      </c>
      <c r="H45">
        <f t="shared" si="1"/>
        <v>2.4872703183683509E-2</v>
      </c>
    </row>
    <row r="46" spans="1:8" x14ac:dyDescent="0.45">
      <c r="A46" vm="258">
        <v>44578</v>
      </c>
      <c r="B46" vm="259">
        <v>1003.95</v>
      </c>
      <c r="D46">
        <f t="shared" si="0"/>
        <v>-1.5107666650316355E-2</v>
      </c>
      <c r="F46" vm="258">
        <v>44578</v>
      </c>
      <c r="G46" vm="260">
        <v>17617.150000000001</v>
      </c>
      <c r="H46">
        <f t="shared" si="1"/>
        <v>-3.4980759486736977E-2</v>
      </c>
    </row>
    <row r="47" spans="1:8" x14ac:dyDescent="0.45">
      <c r="A47" vm="261">
        <v>44585</v>
      </c>
      <c r="B47" vm="262">
        <v>977.1</v>
      </c>
      <c r="D47">
        <f t="shared" si="0"/>
        <v>-2.6744359778873471E-2</v>
      </c>
      <c r="F47" vm="261">
        <v>44585</v>
      </c>
      <c r="G47" vm="263">
        <v>17101.95</v>
      </c>
      <c r="H47">
        <f t="shared" si="1"/>
        <v>-2.924423076377284E-2</v>
      </c>
    </row>
    <row r="48" spans="1:8" x14ac:dyDescent="0.45">
      <c r="A48" vm="264">
        <v>44592</v>
      </c>
      <c r="B48" vm="265">
        <v>1022.8</v>
      </c>
      <c r="D48">
        <f t="shared" si="0"/>
        <v>4.6771057210111482E-2</v>
      </c>
      <c r="F48" vm="264">
        <v>44592</v>
      </c>
      <c r="G48" vm="266">
        <v>17516.3</v>
      </c>
      <c r="H48">
        <f t="shared" si="1"/>
        <v>2.4228231283566992E-2</v>
      </c>
    </row>
    <row r="49" spans="1:8" x14ac:dyDescent="0.45">
      <c r="A49" vm="267">
        <v>44599</v>
      </c>
      <c r="B49" vm="268">
        <v>970.75</v>
      </c>
      <c r="D49">
        <f t="shared" si="0"/>
        <v>-5.0889714509190415E-2</v>
      </c>
      <c r="F49" vm="267">
        <v>44599</v>
      </c>
      <c r="G49" vm="269">
        <v>17374.75</v>
      </c>
      <c r="H49">
        <f t="shared" si="1"/>
        <v>-8.0810445128251564E-3</v>
      </c>
    </row>
    <row r="50" spans="1:8" x14ac:dyDescent="0.45">
      <c r="A50" vm="270">
        <v>44606</v>
      </c>
      <c r="B50" vm="271">
        <v>916.35</v>
      </c>
      <c r="D50">
        <f t="shared" si="0"/>
        <v>-5.6039144990986327E-2</v>
      </c>
      <c r="F50" vm="270">
        <v>44606</v>
      </c>
      <c r="G50" vm="272">
        <v>17276.3</v>
      </c>
      <c r="H50">
        <f t="shared" si="1"/>
        <v>-5.6662685794040624E-3</v>
      </c>
    </row>
    <row r="51" spans="1:8" x14ac:dyDescent="0.45">
      <c r="A51" vm="273">
        <v>44613</v>
      </c>
      <c r="B51" vm="274">
        <v>860.9</v>
      </c>
      <c r="D51">
        <f t="shared" si="0"/>
        <v>-6.051181317182304E-2</v>
      </c>
      <c r="F51" vm="273">
        <v>44613</v>
      </c>
      <c r="G51" vm="275">
        <v>16658.400000000001</v>
      </c>
      <c r="H51">
        <f t="shared" si="1"/>
        <v>-3.576576002963585E-2</v>
      </c>
    </row>
    <row r="52" spans="1:8" x14ac:dyDescent="0.45">
      <c r="A52" vm="276">
        <v>44620</v>
      </c>
      <c r="B52" vm="277">
        <v>801.85</v>
      </c>
      <c r="D52">
        <f t="shared" si="0"/>
        <v>-6.859100940875823E-2</v>
      </c>
      <c r="F52" vm="276">
        <v>44620</v>
      </c>
      <c r="G52" vm="278">
        <v>16245.35</v>
      </c>
      <c r="H52">
        <f t="shared" si="1"/>
        <v>-2.4795298468040211E-2</v>
      </c>
    </row>
    <row r="53" spans="1:8" x14ac:dyDescent="0.45">
      <c r="A53" vm="279">
        <v>44627</v>
      </c>
      <c r="B53" vm="280">
        <v>869</v>
      </c>
      <c r="D53">
        <f t="shared" si="0"/>
        <v>8.3743842364531987E-2</v>
      </c>
      <c r="F53" vm="279">
        <v>44627</v>
      </c>
      <c r="G53" vm="281">
        <v>16630.45</v>
      </c>
      <c r="H53">
        <f t="shared" si="1"/>
        <v>2.3705244885459553E-2</v>
      </c>
    </row>
    <row r="54" spans="1:8" x14ac:dyDescent="0.45">
      <c r="A54" vm="282">
        <v>44634</v>
      </c>
      <c r="B54" vm="283">
        <v>882.25</v>
      </c>
      <c r="D54">
        <f t="shared" si="0"/>
        <v>1.5247410817031071E-2</v>
      </c>
      <c r="F54" vm="282">
        <v>44634</v>
      </c>
      <c r="G54" vm="284">
        <v>17287.05</v>
      </c>
      <c r="H54">
        <f t="shared" si="1"/>
        <v>3.9481793938227677E-2</v>
      </c>
    </row>
    <row r="55" spans="1:8" x14ac:dyDescent="0.45">
      <c r="A55" vm="285">
        <v>44641</v>
      </c>
      <c r="B55" vm="286">
        <v>867.5</v>
      </c>
      <c r="D55">
        <f t="shared" si="0"/>
        <v>-1.6718617172003399E-2</v>
      </c>
      <c r="F55" vm="285">
        <v>44641</v>
      </c>
      <c r="G55" vm="287">
        <v>17153</v>
      </c>
      <c r="H55">
        <f t="shared" si="1"/>
        <v>-7.7543594771808536E-3</v>
      </c>
    </row>
    <row r="56" spans="1:8" x14ac:dyDescent="0.45">
      <c r="A56" vm="288">
        <v>44648</v>
      </c>
      <c r="B56" vm="289">
        <v>831.2</v>
      </c>
      <c r="D56">
        <f t="shared" si="0"/>
        <v>-4.1844380403458163E-2</v>
      </c>
      <c r="F56" vm="288">
        <v>44648</v>
      </c>
      <c r="G56" vm="290">
        <v>17670.45</v>
      </c>
      <c r="H56">
        <f t="shared" si="1"/>
        <v>3.0166734681979872E-2</v>
      </c>
    </row>
    <row r="57" spans="1:8" x14ac:dyDescent="0.45">
      <c r="A57" vm="291">
        <v>44655</v>
      </c>
      <c r="B57" vm="292">
        <v>840.05</v>
      </c>
      <c r="D57">
        <f t="shared" si="0"/>
        <v>1.064725697786322E-2</v>
      </c>
      <c r="F57" vm="291">
        <v>44655</v>
      </c>
      <c r="G57" vm="293">
        <v>17784.349999999999</v>
      </c>
      <c r="H57">
        <f t="shared" si="1"/>
        <v>6.4457894394312435E-3</v>
      </c>
    </row>
    <row r="58" spans="1:8" x14ac:dyDescent="0.45">
      <c r="A58" vm="294">
        <v>44662</v>
      </c>
      <c r="B58" vm="295">
        <v>871.2</v>
      </c>
      <c r="D58">
        <f t="shared" si="0"/>
        <v>3.7081126123445142E-2</v>
      </c>
      <c r="F58" vm="294">
        <v>44662</v>
      </c>
      <c r="G58" vm="296">
        <v>17475.650000000001</v>
      </c>
      <c r="H58">
        <f t="shared" si="1"/>
        <v>-1.735795797990914E-2</v>
      </c>
    </row>
    <row r="59" spans="1:8" x14ac:dyDescent="0.45">
      <c r="A59" vm="297">
        <v>44669</v>
      </c>
      <c r="B59" vm="298">
        <v>854.25</v>
      </c>
      <c r="D59">
        <f t="shared" si="0"/>
        <v>-1.9455922865013825E-2</v>
      </c>
      <c r="F59" vm="297">
        <v>44669</v>
      </c>
      <c r="G59" vm="299">
        <v>17171.95</v>
      </c>
      <c r="H59">
        <f t="shared" si="1"/>
        <v>-1.7378466609253487E-2</v>
      </c>
    </row>
    <row r="60" spans="1:8" x14ac:dyDescent="0.45">
      <c r="A60" vm="300">
        <v>44676</v>
      </c>
      <c r="B60" vm="41">
        <v>828.6</v>
      </c>
      <c r="D60">
        <f t="shared" si="0"/>
        <v>-3.0026338893766436E-2</v>
      </c>
      <c r="F60" vm="300">
        <v>44676</v>
      </c>
      <c r="G60" vm="42">
        <v>17102.55</v>
      </c>
      <c r="H60">
        <f t="shared" si="1"/>
        <v>-4.0414746141236987E-3</v>
      </c>
    </row>
    <row r="61" spans="1:8" x14ac:dyDescent="0.45">
      <c r="A61" vm="301">
        <v>44683</v>
      </c>
      <c r="B61" vm="302">
        <v>825.05</v>
      </c>
      <c r="D61">
        <f t="shared" si="0"/>
        <v>-4.2843350229303263E-3</v>
      </c>
      <c r="F61" vm="301">
        <v>44683</v>
      </c>
      <c r="G61" vm="303">
        <v>16411.25</v>
      </c>
      <c r="H61">
        <f t="shared" si="1"/>
        <v>-4.0420872910764731E-2</v>
      </c>
    </row>
    <row r="62" spans="1:8" x14ac:dyDescent="0.45">
      <c r="A62" vm="304">
        <v>44690</v>
      </c>
      <c r="B62" vm="305">
        <v>801.25</v>
      </c>
      <c r="D62">
        <f t="shared" si="0"/>
        <v>-2.8846736561420467E-2</v>
      </c>
      <c r="F62" vm="304">
        <v>44690</v>
      </c>
      <c r="G62" vm="306">
        <v>15782.15</v>
      </c>
      <c r="H62">
        <f t="shared" si="1"/>
        <v>-3.8333460278772206E-2</v>
      </c>
    </row>
    <row r="63" spans="1:8" x14ac:dyDescent="0.45">
      <c r="A63" vm="307">
        <v>44697</v>
      </c>
      <c r="B63" vm="308">
        <v>756.25</v>
      </c>
      <c r="D63">
        <f t="shared" si="0"/>
        <v>-5.6162246489859596E-2</v>
      </c>
      <c r="F63" vm="307">
        <v>44697</v>
      </c>
      <c r="G63" vm="309">
        <v>16266.15</v>
      </c>
      <c r="H63">
        <f t="shared" si="1"/>
        <v>3.0667557968971276E-2</v>
      </c>
    </row>
    <row r="64" spans="1:8" x14ac:dyDescent="0.45">
      <c r="A64" vm="310">
        <v>44704</v>
      </c>
      <c r="B64" vm="311">
        <v>697</v>
      </c>
      <c r="D64">
        <f t="shared" si="0"/>
        <v>-7.8347107438016525E-2</v>
      </c>
      <c r="F64" vm="310">
        <v>44704</v>
      </c>
      <c r="G64" vm="312">
        <v>16352.45</v>
      </c>
      <c r="H64">
        <f t="shared" si="1"/>
        <v>5.3054963835942178E-3</v>
      </c>
    </row>
    <row r="65" spans="1:8" x14ac:dyDescent="0.45">
      <c r="A65" vm="313">
        <v>44711</v>
      </c>
      <c r="B65" vm="314">
        <v>681.95</v>
      </c>
      <c r="D65">
        <f t="shared" si="0"/>
        <v>-2.1592539454806249E-2</v>
      </c>
      <c r="F65" vm="313">
        <v>44711</v>
      </c>
      <c r="G65" vm="315">
        <v>16584.3</v>
      </c>
      <c r="H65">
        <f t="shared" si="1"/>
        <v>1.4178303556959265E-2</v>
      </c>
    </row>
    <row r="66" spans="1:8" x14ac:dyDescent="0.45">
      <c r="A66" vm="316">
        <v>44718</v>
      </c>
      <c r="B66" vm="317">
        <v>622.54999999999995</v>
      </c>
      <c r="D66">
        <f t="shared" si="0"/>
        <v>-8.7103160055722689E-2</v>
      </c>
      <c r="F66" vm="316">
        <v>44718</v>
      </c>
      <c r="G66" vm="318">
        <v>16201.8</v>
      </c>
      <c r="H66">
        <f t="shared" si="1"/>
        <v>-2.3063982200032564E-2</v>
      </c>
    </row>
    <row r="67" spans="1:8" x14ac:dyDescent="0.45">
      <c r="A67" vm="319">
        <v>44725</v>
      </c>
      <c r="B67" vm="320">
        <v>560.54999999999995</v>
      </c>
      <c r="D67">
        <f t="shared" si="0"/>
        <v>-9.9590394345835678E-2</v>
      </c>
      <c r="F67" vm="319">
        <v>44725</v>
      </c>
      <c r="G67" vm="321">
        <v>15293.5</v>
      </c>
      <c r="H67">
        <f t="shared" si="1"/>
        <v>-5.6061672159883426E-2</v>
      </c>
    </row>
    <row r="68" spans="1:8" x14ac:dyDescent="0.45">
      <c r="A68" vm="322">
        <v>44732</v>
      </c>
      <c r="B68" vm="323">
        <v>617.15</v>
      </c>
      <c r="D68">
        <f t="shared" si="0"/>
        <v>0.10097225938810102</v>
      </c>
      <c r="F68" vm="322">
        <v>44732</v>
      </c>
      <c r="G68" vm="324">
        <v>15699.25</v>
      </c>
      <c r="H68">
        <f t="shared" si="1"/>
        <v>2.6530879131657241E-2</v>
      </c>
    </row>
    <row r="69" spans="1:8" x14ac:dyDescent="0.45">
      <c r="A69" vm="325">
        <v>44739</v>
      </c>
      <c r="B69" vm="326">
        <v>621.65</v>
      </c>
      <c r="D69">
        <f t="shared" ref="D69:D132" si="2">(B69-B68)/B68</f>
        <v>7.2915822733533179E-3</v>
      </c>
      <c r="F69" vm="325">
        <v>44739</v>
      </c>
      <c r="G69" vm="327">
        <v>15752.05</v>
      </c>
      <c r="H69">
        <f t="shared" ref="H69:H132" si="3">(G69-G68)/G68</f>
        <v>3.3632179881204053E-3</v>
      </c>
    </row>
    <row r="70" spans="1:8" x14ac:dyDescent="0.45">
      <c r="A70" vm="328">
        <v>44746</v>
      </c>
      <c r="B70" vm="329">
        <v>621.9</v>
      </c>
      <c r="D70">
        <f t="shared" si="2"/>
        <v>4.0215555376819754E-4</v>
      </c>
      <c r="F70" vm="328">
        <v>44746</v>
      </c>
      <c r="G70" vm="330">
        <v>16220.6</v>
      </c>
      <c r="H70">
        <f t="shared" si="3"/>
        <v>2.9745334734209268E-2</v>
      </c>
    </row>
    <row r="71" spans="1:8" x14ac:dyDescent="0.45">
      <c r="A71" vm="331">
        <v>44753</v>
      </c>
      <c r="B71" vm="332">
        <v>733.15</v>
      </c>
      <c r="D71">
        <f t="shared" si="2"/>
        <v>0.17888728091333012</v>
      </c>
      <c r="F71" vm="331">
        <v>44753</v>
      </c>
      <c r="G71" vm="333">
        <v>16049.2</v>
      </c>
      <c r="H71">
        <f t="shared" si="3"/>
        <v>-1.0566810105668078E-2</v>
      </c>
    </row>
    <row r="72" spans="1:8" x14ac:dyDescent="0.45">
      <c r="A72" vm="334">
        <v>44760</v>
      </c>
      <c r="B72" vm="335">
        <v>793.25</v>
      </c>
      <c r="D72">
        <f t="shared" si="2"/>
        <v>8.197503921434908E-2</v>
      </c>
      <c r="F72" vm="334">
        <v>44760</v>
      </c>
      <c r="G72" vm="336">
        <v>16719.45</v>
      </c>
      <c r="H72">
        <f t="shared" si="3"/>
        <v>4.1762206215886145E-2</v>
      </c>
    </row>
    <row r="73" spans="1:8" x14ac:dyDescent="0.45">
      <c r="A73" vm="337">
        <v>44767</v>
      </c>
      <c r="B73" vm="50">
        <v>796.75</v>
      </c>
      <c r="D73">
        <f t="shared" si="2"/>
        <v>4.4122281752284904E-3</v>
      </c>
      <c r="F73" vm="337">
        <v>44767</v>
      </c>
      <c r="G73" vm="51">
        <v>17158.25</v>
      </c>
      <c r="H73">
        <f t="shared" si="3"/>
        <v>2.6244882457257819E-2</v>
      </c>
    </row>
    <row r="74" spans="1:8" x14ac:dyDescent="0.45">
      <c r="A74" vm="52">
        <v>44774</v>
      </c>
      <c r="B74" vm="338">
        <v>767.3</v>
      </c>
      <c r="D74">
        <f t="shared" si="2"/>
        <v>-3.6962660809538805E-2</v>
      </c>
      <c r="F74" vm="52">
        <v>44774</v>
      </c>
      <c r="G74" vm="339">
        <v>17397.5</v>
      </c>
      <c r="H74">
        <f t="shared" si="3"/>
        <v>1.3943729692713418E-2</v>
      </c>
    </row>
    <row r="75" spans="1:8" x14ac:dyDescent="0.45">
      <c r="A75" vm="340">
        <v>44781</v>
      </c>
      <c r="B75" vm="341">
        <v>750.7</v>
      </c>
      <c r="D75">
        <f t="shared" si="2"/>
        <v>-2.1634302098266531E-2</v>
      </c>
      <c r="F75" vm="340">
        <v>44781</v>
      </c>
      <c r="G75" vm="342">
        <v>17698.150000000001</v>
      </c>
      <c r="H75">
        <f t="shared" si="3"/>
        <v>1.7281218565885988E-2</v>
      </c>
    </row>
    <row r="76" spans="1:8" x14ac:dyDescent="0.45">
      <c r="A76" vm="343">
        <v>44789</v>
      </c>
      <c r="B76" vm="344">
        <v>751.6</v>
      </c>
      <c r="D76">
        <f t="shared" si="2"/>
        <v>1.1988810443585682E-3</v>
      </c>
      <c r="F76" vm="343">
        <v>44789</v>
      </c>
      <c r="G76" vm="345">
        <v>17758.45</v>
      </c>
      <c r="H76">
        <f t="shared" si="3"/>
        <v>3.4071357740780403E-3</v>
      </c>
    </row>
    <row r="77" spans="1:8" x14ac:dyDescent="0.45">
      <c r="A77" vm="346">
        <v>44795</v>
      </c>
      <c r="B77" vm="347">
        <v>764.85</v>
      </c>
      <c r="D77">
        <f t="shared" si="2"/>
        <v>1.7629058009579562E-2</v>
      </c>
      <c r="F77" vm="346">
        <v>44795</v>
      </c>
      <c r="G77" vm="348">
        <v>17558.900000000001</v>
      </c>
      <c r="H77">
        <f t="shared" si="3"/>
        <v>-1.1236904121699769E-2</v>
      </c>
    </row>
    <row r="78" spans="1:8" x14ac:dyDescent="0.45">
      <c r="A78" vm="349">
        <v>44802</v>
      </c>
      <c r="B78" vm="350">
        <v>764.35</v>
      </c>
      <c r="D78">
        <f t="shared" si="2"/>
        <v>-6.5372295221285221E-4</v>
      </c>
      <c r="F78" vm="349">
        <v>44802</v>
      </c>
      <c r="G78" vm="351">
        <v>17539.45</v>
      </c>
      <c r="H78">
        <f t="shared" si="3"/>
        <v>-1.1077003684741484E-3</v>
      </c>
    </row>
    <row r="79" spans="1:8" x14ac:dyDescent="0.45">
      <c r="A79" vm="352">
        <v>44809</v>
      </c>
      <c r="B79" vm="353">
        <v>786.55</v>
      </c>
      <c r="D79">
        <f t="shared" si="2"/>
        <v>2.9044285994635877E-2</v>
      </c>
      <c r="F79" vm="352">
        <v>44809</v>
      </c>
      <c r="G79" vm="354">
        <v>17833.349999999999</v>
      </c>
      <c r="H79">
        <f t="shared" si="3"/>
        <v>1.6756511749228042E-2</v>
      </c>
    </row>
    <row r="80" spans="1:8" x14ac:dyDescent="0.45">
      <c r="A80" vm="355">
        <v>44816</v>
      </c>
      <c r="B80" vm="356">
        <v>756.05</v>
      </c>
      <c r="D80">
        <f t="shared" si="2"/>
        <v>-3.8776937257644147E-2</v>
      </c>
      <c r="F80" vm="355">
        <v>44816</v>
      </c>
      <c r="G80" vm="357">
        <v>17530.849999999999</v>
      </c>
      <c r="H80">
        <f t="shared" si="3"/>
        <v>-1.6962600969531807E-2</v>
      </c>
    </row>
    <row r="81" spans="1:8" x14ac:dyDescent="0.45">
      <c r="A81" vm="358">
        <v>44823</v>
      </c>
      <c r="B81" vm="359">
        <v>771.65</v>
      </c>
      <c r="D81">
        <f t="shared" si="2"/>
        <v>2.0633555981747272E-2</v>
      </c>
      <c r="F81" vm="358">
        <v>44823</v>
      </c>
      <c r="G81" vm="360">
        <v>17327.349999999999</v>
      </c>
      <c r="H81">
        <f t="shared" si="3"/>
        <v>-1.1608107992481825E-2</v>
      </c>
    </row>
    <row r="82" spans="1:8" x14ac:dyDescent="0.45">
      <c r="A82" vm="361">
        <v>44830</v>
      </c>
      <c r="B82" vm="56">
        <v>751.15</v>
      </c>
      <c r="D82">
        <f t="shared" si="2"/>
        <v>-2.6566448519406469E-2</v>
      </c>
      <c r="F82" vm="361">
        <v>44830</v>
      </c>
      <c r="G82" vm="57">
        <v>17094.349999999999</v>
      </c>
      <c r="H82">
        <f t="shared" si="3"/>
        <v>-1.3446949475828677E-2</v>
      </c>
    </row>
    <row r="83" spans="1:8" x14ac:dyDescent="0.45">
      <c r="A83" vm="362">
        <v>44837</v>
      </c>
      <c r="B83" vm="363">
        <v>734.9</v>
      </c>
      <c r="D83">
        <f t="shared" si="2"/>
        <v>-2.1633495307195633E-2</v>
      </c>
      <c r="F83" vm="362">
        <v>44837</v>
      </c>
      <c r="G83" vm="364">
        <v>17331.8</v>
      </c>
      <c r="H83">
        <f t="shared" si="3"/>
        <v>1.3890554481451517E-2</v>
      </c>
    </row>
    <row r="84" spans="1:8" x14ac:dyDescent="0.45">
      <c r="A84" vm="365">
        <v>44844</v>
      </c>
      <c r="B84" vm="366">
        <v>725.5</v>
      </c>
      <c r="D84">
        <f t="shared" si="2"/>
        <v>-1.2790855898761706E-2</v>
      </c>
      <c r="F84" vm="365">
        <v>44844</v>
      </c>
      <c r="G84" vm="367">
        <v>17185.7</v>
      </c>
      <c r="H84">
        <f t="shared" si="3"/>
        <v>-8.4295918485095926E-3</v>
      </c>
    </row>
    <row r="85" spans="1:8" x14ac:dyDescent="0.45">
      <c r="A85" vm="368">
        <v>44851</v>
      </c>
      <c r="B85" vm="369">
        <v>752.3</v>
      </c>
      <c r="D85">
        <f t="shared" si="2"/>
        <v>3.6940041350792492E-2</v>
      </c>
      <c r="F85" vm="368">
        <v>44851</v>
      </c>
      <c r="G85" vm="370">
        <v>17576.3</v>
      </c>
      <c r="H85">
        <f t="shared" si="3"/>
        <v>2.2728198444055145E-2</v>
      </c>
    </row>
    <row r="86" spans="1:8" x14ac:dyDescent="0.45">
      <c r="A86" vm="371">
        <v>44858</v>
      </c>
      <c r="B86" vm="372">
        <v>780.1</v>
      </c>
      <c r="D86">
        <f t="shared" si="2"/>
        <v>3.6953343081217692E-2</v>
      </c>
      <c r="F86" vm="371">
        <v>44858</v>
      </c>
      <c r="G86" vm="373">
        <v>17786.8</v>
      </c>
      <c r="H86">
        <f t="shared" si="3"/>
        <v>1.1976354522851795E-2</v>
      </c>
    </row>
    <row r="87" spans="1:8" x14ac:dyDescent="0.45">
      <c r="A87" vm="374">
        <v>44865</v>
      </c>
      <c r="B87" vm="375">
        <v>749</v>
      </c>
      <c r="D87">
        <f t="shared" si="2"/>
        <v>-3.9866683758492526E-2</v>
      </c>
      <c r="F87" vm="374">
        <v>44865</v>
      </c>
      <c r="G87" vm="376">
        <v>18117.150000000001</v>
      </c>
      <c r="H87">
        <f t="shared" si="3"/>
        <v>1.8572761823374761E-2</v>
      </c>
    </row>
    <row r="88" spans="1:8" x14ac:dyDescent="0.45">
      <c r="A88" vm="377">
        <v>44872</v>
      </c>
      <c r="B88" vm="378">
        <v>745.2</v>
      </c>
      <c r="D88">
        <f t="shared" si="2"/>
        <v>-5.0734312416554801E-3</v>
      </c>
      <c r="F88" vm="377">
        <v>44872</v>
      </c>
      <c r="G88" vm="379">
        <v>18349.7</v>
      </c>
      <c r="H88">
        <f t="shared" si="3"/>
        <v>1.2835904101914443E-2</v>
      </c>
    </row>
    <row r="89" spans="1:8" x14ac:dyDescent="0.45">
      <c r="A89" vm="380">
        <v>44879</v>
      </c>
      <c r="B89" vm="381">
        <v>734.6</v>
      </c>
      <c r="D89">
        <f t="shared" si="2"/>
        <v>-1.4224369296833095E-2</v>
      </c>
      <c r="F89" vm="380">
        <v>44879</v>
      </c>
      <c r="G89" vm="382">
        <v>18307.650000000001</v>
      </c>
      <c r="H89">
        <f t="shared" si="3"/>
        <v>-2.291590598211375E-3</v>
      </c>
    </row>
    <row r="90" spans="1:8" x14ac:dyDescent="0.45">
      <c r="A90" vm="383">
        <v>44886</v>
      </c>
      <c r="B90" vm="384">
        <v>726.7</v>
      </c>
      <c r="D90">
        <f t="shared" si="2"/>
        <v>-1.0754151919411894E-2</v>
      </c>
      <c r="F90" vm="383">
        <v>44886</v>
      </c>
      <c r="G90" vm="385">
        <v>18512.75</v>
      </c>
      <c r="H90">
        <f t="shared" si="3"/>
        <v>1.1202967065680114E-2</v>
      </c>
    </row>
    <row r="91" spans="1:8" x14ac:dyDescent="0.45">
      <c r="A91" vm="386">
        <v>44893</v>
      </c>
      <c r="B91" vm="387">
        <v>719.6</v>
      </c>
      <c r="D91">
        <f t="shared" si="2"/>
        <v>-9.7701940277969204E-3</v>
      </c>
      <c r="F91" vm="386">
        <v>44893</v>
      </c>
      <c r="G91" vm="388">
        <v>18696.099999999999</v>
      </c>
      <c r="H91">
        <f t="shared" si="3"/>
        <v>9.9039850913558783E-3</v>
      </c>
    </row>
    <row r="92" spans="1:8" x14ac:dyDescent="0.45">
      <c r="A92" vm="389">
        <v>44900</v>
      </c>
      <c r="B92" vm="390">
        <v>715.8</v>
      </c>
      <c r="D92">
        <f t="shared" si="2"/>
        <v>-5.2807115063925351E-3</v>
      </c>
      <c r="F92" vm="389">
        <v>44900</v>
      </c>
      <c r="G92" vm="391">
        <v>18496.599999999999</v>
      </c>
      <c r="H92">
        <f t="shared" si="3"/>
        <v>-1.0670674632677403E-2</v>
      </c>
    </row>
    <row r="93" spans="1:8" x14ac:dyDescent="0.45">
      <c r="A93" vm="392">
        <v>44907</v>
      </c>
      <c r="B93" vm="393">
        <v>691.55</v>
      </c>
      <c r="D93">
        <f t="shared" si="2"/>
        <v>-3.3878178262084384E-2</v>
      </c>
      <c r="F93" vm="392">
        <v>44907</v>
      </c>
      <c r="G93" vm="394">
        <v>18269</v>
      </c>
      <c r="H93">
        <f t="shared" si="3"/>
        <v>-1.2304964155574461E-2</v>
      </c>
    </row>
    <row r="94" spans="1:8" x14ac:dyDescent="0.45">
      <c r="A94" vm="395">
        <v>44914</v>
      </c>
      <c r="B94" vm="396">
        <v>659.9</v>
      </c>
      <c r="D94">
        <f t="shared" si="2"/>
        <v>-4.5766755838334144E-2</v>
      </c>
      <c r="F94" vm="395">
        <v>44914</v>
      </c>
      <c r="G94" vm="397">
        <v>17806.8</v>
      </c>
      <c r="H94">
        <f t="shared" si="3"/>
        <v>-2.5299687996058938E-2</v>
      </c>
    </row>
    <row r="95" spans="1:8" x14ac:dyDescent="0.45">
      <c r="A95" vm="398">
        <v>44921</v>
      </c>
      <c r="B95" vm="65">
        <v>679.45</v>
      </c>
      <c r="D95">
        <f t="shared" si="2"/>
        <v>2.962570086376734E-2</v>
      </c>
      <c r="F95" vm="398">
        <v>44921</v>
      </c>
      <c r="G95" vm="66">
        <v>18105.3</v>
      </c>
      <c r="H95">
        <f t="shared" si="3"/>
        <v>1.6763258979715614E-2</v>
      </c>
    </row>
    <row r="96" spans="1:8" x14ac:dyDescent="0.45">
      <c r="A96" vm="399">
        <v>44928</v>
      </c>
      <c r="B96" vm="400">
        <v>689.45</v>
      </c>
      <c r="D96">
        <f t="shared" si="2"/>
        <v>1.4717786444918684E-2</v>
      </c>
      <c r="F96" vm="399">
        <v>44928</v>
      </c>
      <c r="G96" vm="401">
        <v>17859.45</v>
      </c>
      <c r="H96">
        <f t="shared" si="3"/>
        <v>-1.3578896787128552E-2</v>
      </c>
    </row>
    <row r="97" spans="1:8" x14ac:dyDescent="0.45">
      <c r="A97" vm="402">
        <v>44935</v>
      </c>
      <c r="B97" vm="403">
        <v>673.85</v>
      </c>
      <c r="D97">
        <f t="shared" si="2"/>
        <v>-2.2626731452607182E-2</v>
      </c>
      <c r="F97" vm="402">
        <v>44935</v>
      </c>
      <c r="G97" vm="404">
        <v>17956.599999999999</v>
      </c>
      <c r="H97">
        <f t="shared" si="3"/>
        <v>5.4396971911227845E-3</v>
      </c>
    </row>
    <row r="98" spans="1:8" x14ac:dyDescent="0.45">
      <c r="A98" vm="405">
        <v>44942</v>
      </c>
      <c r="B98" vm="406">
        <v>649.5</v>
      </c>
      <c r="D98">
        <f t="shared" si="2"/>
        <v>-3.6135638495214104E-2</v>
      </c>
      <c r="F98" vm="405">
        <v>44942</v>
      </c>
      <c r="G98" vm="407">
        <v>18027.650000000001</v>
      </c>
      <c r="H98">
        <f t="shared" si="3"/>
        <v>3.956762416047744E-3</v>
      </c>
    </row>
    <row r="99" spans="1:8" x14ac:dyDescent="0.45">
      <c r="A99" vm="408">
        <v>44949</v>
      </c>
      <c r="B99" vm="409">
        <v>596.5</v>
      </c>
      <c r="D99">
        <f t="shared" si="2"/>
        <v>-8.1601231716705164E-2</v>
      </c>
      <c r="F99" vm="408">
        <v>44949</v>
      </c>
      <c r="G99" vm="410">
        <v>17604.349999999999</v>
      </c>
      <c r="H99">
        <f t="shared" si="3"/>
        <v>-2.3480597859399471E-2</v>
      </c>
    </row>
    <row r="100" spans="1:8" x14ac:dyDescent="0.45">
      <c r="A100" vm="411">
        <v>44956</v>
      </c>
      <c r="B100" vm="412">
        <v>577.04999999999995</v>
      </c>
      <c r="D100">
        <f t="shared" si="2"/>
        <v>-3.260687342833201E-2</v>
      </c>
      <c r="F100" vm="411">
        <v>44956</v>
      </c>
      <c r="G100" vm="413">
        <v>17854.05</v>
      </c>
      <c r="H100">
        <f t="shared" si="3"/>
        <v>1.4183994296864171E-2</v>
      </c>
    </row>
    <row r="101" spans="1:8" x14ac:dyDescent="0.45">
      <c r="A101" vm="414">
        <v>44963</v>
      </c>
      <c r="B101" vm="415">
        <v>617.54999999999995</v>
      </c>
      <c r="D101">
        <f t="shared" si="2"/>
        <v>7.0184559396932675E-2</v>
      </c>
      <c r="F101" vm="414">
        <v>44963</v>
      </c>
      <c r="G101" vm="416">
        <v>17856.5</v>
      </c>
      <c r="H101">
        <f t="shared" si="3"/>
        <v>1.3722376715651226E-4</v>
      </c>
    </row>
    <row r="102" spans="1:8" x14ac:dyDescent="0.45">
      <c r="A102" vm="417">
        <v>44970</v>
      </c>
      <c r="B102" vm="418">
        <v>624.54999999999995</v>
      </c>
      <c r="D102">
        <f t="shared" si="2"/>
        <v>1.1335114565622218E-2</v>
      </c>
      <c r="F102" vm="417">
        <v>44970</v>
      </c>
      <c r="G102" vm="419">
        <v>17944.2</v>
      </c>
      <c r="H102">
        <f t="shared" si="3"/>
        <v>4.9113768095651851E-3</v>
      </c>
    </row>
    <row r="103" spans="1:8" x14ac:dyDescent="0.45">
      <c r="A103" vm="420">
        <v>44977</v>
      </c>
      <c r="B103" vm="421">
        <v>649.1</v>
      </c>
      <c r="D103">
        <f t="shared" si="2"/>
        <v>3.9308301977423854E-2</v>
      </c>
      <c r="F103" vm="420">
        <v>44977</v>
      </c>
      <c r="G103" vm="422">
        <v>17465.8</v>
      </c>
      <c r="H103">
        <f t="shared" si="3"/>
        <v>-2.6660425095574137E-2</v>
      </c>
    </row>
    <row r="104" spans="1:8" x14ac:dyDescent="0.45">
      <c r="A104" vm="423">
        <v>44984</v>
      </c>
      <c r="B104" vm="424">
        <v>736.05</v>
      </c>
      <c r="D104">
        <f t="shared" si="2"/>
        <v>0.13395470651671534</v>
      </c>
      <c r="F104" vm="423">
        <v>44984</v>
      </c>
      <c r="G104" vm="425">
        <v>17594.349999999999</v>
      </c>
      <c r="H104">
        <f t="shared" si="3"/>
        <v>7.3600980201307285E-3</v>
      </c>
    </row>
    <row r="105" spans="1:8" x14ac:dyDescent="0.45">
      <c r="A105" vm="426">
        <v>44991</v>
      </c>
      <c r="B105" vm="427">
        <v>747.15</v>
      </c>
      <c r="D105">
        <f t="shared" si="2"/>
        <v>1.5080497248828236E-2</v>
      </c>
      <c r="F105" vm="426">
        <v>44991</v>
      </c>
      <c r="G105" vm="428">
        <v>17412.900000000001</v>
      </c>
      <c r="H105">
        <f t="shared" si="3"/>
        <v>-1.0312969788596743E-2</v>
      </c>
    </row>
    <row r="106" spans="1:8" x14ac:dyDescent="0.45">
      <c r="A106" vm="429">
        <v>44998</v>
      </c>
      <c r="B106" vm="430">
        <v>749.15</v>
      </c>
      <c r="D106">
        <f t="shared" si="2"/>
        <v>2.6768386535501575E-3</v>
      </c>
      <c r="F106" vm="429">
        <v>44998</v>
      </c>
      <c r="G106" vm="431">
        <v>17100.05</v>
      </c>
      <c r="H106">
        <f t="shared" si="3"/>
        <v>-1.7966565017889159E-2</v>
      </c>
    </row>
    <row r="107" spans="1:8" x14ac:dyDescent="0.45">
      <c r="A107" vm="432">
        <v>45005</v>
      </c>
      <c r="B107" vm="433">
        <v>855</v>
      </c>
      <c r="D107">
        <f t="shared" si="2"/>
        <v>0.14129346592805184</v>
      </c>
      <c r="F107" vm="432">
        <v>45005</v>
      </c>
      <c r="G107" vm="434">
        <v>16945.05</v>
      </c>
      <c r="H107">
        <f t="shared" si="3"/>
        <v>-9.0643009815760782E-3</v>
      </c>
    </row>
    <row r="108" spans="1:8" x14ac:dyDescent="0.45">
      <c r="A108" vm="435">
        <v>45012</v>
      </c>
      <c r="B108" vm="74">
        <v>865.35</v>
      </c>
      <c r="D108">
        <f t="shared" si="2"/>
        <v>1.2105263157894763E-2</v>
      </c>
      <c r="F108" vm="435">
        <v>45012</v>
      </c>
      <c r="G108" vm="75">
        <v>17359.75</v>
      </c>
      <c r="H108">
        <f t="shared" si="3"/>
        <v>2.4473223743807233E-2</v>
      </c>
    </row>
    <row r="109" spans="1:8" x14ac:dyDescent="0.45">
      <c r="A109" vm="436">
        <v>45019</v>
      </c>
      <c r="B109" vm="437">
        <v>949.2</v>
      </c>
      <c r="D109">
        <f t="shared" si="2"/>
        <v>9.6897209221702224E-2</v>
      </c>
      <c r="F109" vm="436">
        <v>45019</v>
      </c>
      <c r="G109" vm="438">
        <v>17599.150000000001</v>
      </c>
      <c r="H109">
        <f t="shared" si="3"/>
        <v>1.3790521176860349E-2</v>
      </c>
    </row>
    <row r="110" spans="1:8" x14ac:dyDescent="0.45">
      <c r="A110" vm="439">
        <v>45026</v>
      </c>
      <c r="B110" vm="440">
        <v>989.05</v>
      </c>
      <c r="D110">
        <f t="shared" si="2"/>
        <v>4.1982722292456705E-2</v>
      </c>
      <c r="F110" vm="439">
        <v>45026</v>
      </c>
      <c r="G110" vm="441">
        <v>17828</v>
      </c>
      <c r="H110">
        <f t="shared" si="3"/>
        <v>1.3003468917532865E-2</v>
      </c>
    </row>
    <row r="111" spans="1:8" x14ac:dyDescent="0.45">
      <c r="A111" vm="442">
        <v>45033</v>
      </c>
      <c r="B111" vm="443">
        <v>1059.8</v>
      </c>
      <c r="D111">
        <f t="shared" si="2"/>
        <v>7.1533289520246707E-2</v>
      </c>
      <c r="F111" vm="442">
        <v>45033</v>
      </c>
      <c r="G111" vm="444">
        <v>17624.05</v>
      </c>
      <c r="H111">
        <f t="shared" si="3"/>
        <v>-1.1439869867624004E-2</v>
      </c>
    </row>
    <row r="112" spans="1:8" x14ac:dyDescent="0.45">
      <c r="A112" vm="445">
        <v>45040</v>
      </c>
      <c r="B112" vm="77">
        <v>1129.3</v>
      </c>
      <c r="D112">
        <f t="shared" si="2"/>
        <v>6.5578411020947358E-2</v>
      </c>
      <c r="F112" vm="445">
        <v>45040</v>
      </c>
      <c r="G112" vm="78">
        <v>18065</v>
      </c>
      <c r="H112">
        <f t="shared" si="3"/>
        <v>2.5019788300646034E-2</v>
      </c>
    </row>
    <row r="113" spans="1:8" x14ac:dyDescent="0.45">
      <c r="A113" vm="446">
        <v>45048</v>
      </c>
      <c r="B113" vm="447">
        <v>1132.55</v>
      </c>
      <c r="D113">
        <f t="shared" si="2"/>
        <v>2.8778889577614451E-3</v>
      </c>
      <c r="F113" vm="446">
        <v>45048</v>
      </c>
      <c r="G113" vm="448">
        <v>18069</v>
      </c>
      <c r="H113">
        <f t="shared" si="3"/>
        <v>2.2142264046498756E-4</v>
      </c>
    </row>
    <row r="114" spans="1:8" x14ac:dyDescent="0.45">
      <c r="A114" vm="449">
        <v>45054</v>
      </c>
      <c r="B114" vm="450">
        <v>1166.95</v>
      </c>
      <c r="D114">
        <f t="shared" si="2"/>
        <v>3.037393492561043E-2</v>
      </c>
      <c r="F114" vm="449">
        <v>45054</v>
      </c>
      <c r="G114" vm="451">
        <v>18314.8</v>
      </c>
      <c r="H114">
        <f t="shared" si="3"/>
        <v>1.3603409153799284E-2</v>
      </c>
    </row>
    <row r="115" spans="1:8" x14ac:dyDescent="0.45">
      <c r="A115" vm="452">
        <v>45061</v>
      </c>
      <c r="B115" vm="453">
        <v>1197.7</v>
      </c>
      <c r="D115">
        <f t="shared" si="2"/>
        <v>2.6350743390890781E-2</v>
      </c>
      <c r="F115" vm="452">
        <v>45061</v>
      </c>
      <c r="G115" vm="454">
        <v>18203.400000000001</v>
      </c>
      <c r="H115">
        <f t="shared" si="3"/>
        <v>-6.082512503548923E-3</v>
      </c>
    </row>
    <row r="116" spans="1:8" x14ac:dyDescent="0.45">
      <c r="A116" vm="455">
        <v>45068</v>
      </c>
      <c r="B116" vm="456">
        <v>1219.8</v>
      </c>
      <c r="D116">
        <f t="shared" si="2"/>
        <v>1.8452033063371384E-2</v>
      </c>
      <c r="F116" vm="455">
        <v>45068</v>
      </c>
      <c r="G116" vm="457">
        <v>18499.349999999999</v>
      </c>
      <c r="H116">
        <f t="shared" si="3"/>
        <v>1.6257951811199944E-2</v>
      </c>
    </row>
    <row r="117" spans="1:8" x14ac:dyDescent="0.45">
      <c r="A117" vm="458">
        <v>45075</v>
      </c>
      <c r="B117" vm="459">
        <v>1118.3499999999999</v>
      </c>
      <c r="D117">
        <f t="shared" si="2"/>
        <v>-8.3169372028201391E-2</v>
      </c>
      <c r="F117" vm="458">
        <v>45075</v>
      </c>
      <c r="G117" vm="460">
        <v>18534.099999999999</v>
      </c>
      <c r="H117">
        <f t="shared" si="3"/>
        <v>1.8784443777754354E-3</v>
      </c>
    </row>
    <row r="118" spans="1:8" x14ac:dyDescent="0.45">
      <c r="A118" vm="461">
        <v>45082</v>
      </c>
      <c r="B118" vm="462">
        <v>1084.55</v>
      </c>
      <c r="D118">
        <f t="shared" si="2"/>
        <v>-3.0223096526132209E-2</v>
      </c>
      <c r="F118" vm="461">
        <v>45082</v>
      </c>
      <c r="G118" vm="463">
        <v>18563.400000000001</v>
      </c>
      <c r="H118">
        <f t="shared" si="3"/>
        <v>1.5808698561032321E-3</v>
      </c>
    </row>
    <row r="119" spans="1:8" x14ac:dyDescent="0.45">
      <c r="A119" vm="464">
        <v>45089</v>
      </c>
      <c r="B119" vm="465">
        <v>1083.5999999999999</v>
      </c>
      <c r="D119">
        <f t="shared" si="2"/>
        <v>-8.7593932967594437E-4</v>
      </c>
      <c r="F119" vm="464">
        <v>45089</v>
      </c>
      <c r="G119" vm="466">
        <v>18826</v>
      </c>
      <c r="H119">
        <f t="shared" si="3"/>
        <v>1.4146115474535835E-2</v>
      </c>
    </row>
    <row r="120" spans="1:8" x14ac:dyDescent="0.45">
      <c r="A120" vm="467">
        <v>45096</v>
      </c>
      <c r="B120" vm="468">
        <v>1037.55</v>
      </c>
      <c r="D120">
        <f t="shared" si="2"/>
        <v>-4.2497231450719784E-2</v>
      </c>
      <c r="F120" vm="467">
        <v>45096</v>
      </c>
      <c r="G120" vm="469">
        <v>18665.5</v>
      </c>
      <c r="H120">
        <f t="shared" si="3"/>
        <v>-8.5254435355359617E-3</v>
      </c>
    </row>
    <row r="121" spans="1:8" x14ac:dyDescent="0.45">
      <c r="A121" vm="470">
        <v>45103</v>
      </c>
      <c r="B121" vm="83">
        <v>1030</v>
      </c>
      <c r="D121">
        <f t="shared" si="2"/>
        <v>-7.2767577466145775E-3</v>
      </c>
      <c r="F121" vm="470">
        <v>45103</v>
      </c>
      <c r="G121" vm="84">
        <v>19189.05</v>
      </c>
      <c r="H121">
        <f t="shared" si="3"/>
        <v>2.8049074495727373E-2</v>
      </c>
    </row>
    <row r="122" spans="1:8" x14ac:dyDescent="0.45">
      <c r="A122" vm="471">
        <v>45110</v>
      </c>
      <c r="B122" vm="472">
        <v>992.85</v>
      </c>
      <c r="D122">
        <f t="shared" si="2"/>
        <v>-3.6067961165048519E-2</v>
      </c>
      <c r="F122" vm="471">
        <v>45110</v>
      </c>
      <c r="G122" vm="473">
        <v>19331.8</v>
      </c>
      <c r="H122">
        <f t="shared" si="3"/>
        <v>7.439138466990289E-3</v>
      </c>
    </row>
    <row r="123" spans="1:8" x14ac:dyDescent="0.45">
      <c r="A123" vm="474">
        <v>45117</v>
      </c>
      <c r="B123" vm="475">
        <v>1018.7</v>
      </c>
      <c r="D123">
        <f t="shared" si="2"/>
        <v>2.6036158533514653E-2</v>
      </c>
      <c r="F123" vm="474">
        <v>45117</v>
      </c>
      <c r="G123" vm="476">
        <v>19564.5</v>
      </c>
      <c r="H123">
        <f t="shared" si="3"/>
        <v>1.2037161567986464E-2</v>
      </c>
    </row>
    <row r="124" spans="1:8" x14ac:dyDescent="0.45">
      <c r="A124" vm="477">
        <v>45124</v>
      </c>
      <c r="B124" vm="478">
        <v>979.7</v>
      </c>
      <c r="D124">
        <f t="shared" si="2"/>
        <v>-3.8284087562579755E-2</v>
      </c>
      <c r="F124" vm="477">
        <v>45124</v>
      </c>
      <c r="G124" vm="479">
        <v>19745</v>
      </c>
      <c r="H124">
        <f t="shared" si="3"/>
        <v>9.2258938383296268E-3</v>
      </c>
    </row>
    <row r="125" spans="1:8" x14ac:dyDescent="0.45">
      <c r="A125" vm="480">
        <v>45131</v>
      </c>
      <c r="B125" vm="481">
        <v>976.75</v>
      </c>
      <c r="D125">
        <f t="shared" si="2"/>
        <v>-3.0111258548535728E-3</v>
      </c>
      <c r="F125" vm="480">
        <v>45131</v>
      </c>
      <c r="G125" vm="482">
        <v>19646.05</v>
      </c>
      <c r="H125">
        <f t="shared" si="3"/>
        <v>-5.0113952899468591E-3</v>
      </c>
    </row>
    <row r="126" spans="1:8" x14ac:dyDescent="0.45">
      <c r="A126" vm="483">
        <v>45138</v>
      </c>
      <c r="B126" vm="484">
        <v>930.15</v>
      </c>
      <c r="D126">
        <f t="shared" si="2"/>
        <v>-4.7709239825953438E-2</v>
      </c>
      <c r="F126" vm="483">
        <v>45138</v>
      </c>
      <c r="G126" vm="485">
        <v>19517</v>
      </c>
      <c r="H126">
        <f t="shared" si="3"/>
        <v>-6.5687504612886192E-3</v>
      </c>
    </row>
    <row r="127" spans="1:8" x14ac:dyDescent="0.45">
      <c r="A127" vm="486">
        <v>45145</v>
      </c>
      <c r="B127" vm="487">
        <v>950.6</v>
      </c>
      <c r="D127">
        <f t="shared" si="2"/>
        <v>2.1985701230984301E-2</v>
      </c>
      <c r="F127" vm="486">
        <v>45145</v>
      </c>
      <c r="G127" vm="488">
        <v>19428.3</v>
      </c>
      <c r="H127">
        <f t="shared" si="3"/>
        <v>-4.5447558538710218E-3</v>
      </c>
    </row>
    <row r="128" spans="1:8" x14ac:dyDescent="0.45">
      <c r="A128" vm="489">
        <v>45152</v>
      </c>
      <c r="B128" vm="490">
        <v>943.3</v>
      </c>
      <c r="D128">
        <f t="shared" si="2"/>
        <v>-7.6793604039554686E-3</v>
      </c>
      <c r="F128" vm="489">
        <v>45152</v>
      </c>
      <c r="G128" vm="491">
        <v>19310.150000000001</v>
      </c>
      <c r="H128">
        <f t="shared" si="3"/>
        <v>-6.0813349598265324E-3</v>
      </c>
    </row>
    <row r="129" spans="1:8" x14ac:dyDescent="0.45">
      <c r="A129" vm="492">
        <v>45159</v>
      </c>
      <c r="B129" vm="493">
        <v>1014.85</v>
      </c>
      <c r="D129">
        <f t="shared" si="2"/>
        <v>7.585073677515114E-2</v>
      </c>
      <c r="F129" vm="492">
        <v>45159</v>
      </c>
      <c r="G129" vm="494">
        <v>19265.8</v>
      </c>
      <c r="H129">
        <f t="shared" si="3"/>
        <v>-2.2967196008317997E-3</v>
      </c>
    </row>
    <row r="130" spans="1:8" x14ac:dyDescent="0.45">
      <c r="A130" vm="495">
        <v>45166</v>
      </c>
      <c r="B130" vm="496">
        <v>1005.15</v>
      </c>
      <c r="D130">
        <f t="shared" si="2"/>
        <v>-9.5580627678967783E-3</v>
      </c>
      <c r="F130" vm="495">
        <v>45166</v>
      </c>
      <c r="G130" vm="497">
        <v>19435.3</v>
      </c>
      <c r="H130">
        <f t="shared" si="3"/>
        <v>8.7979736112697108E-3</v>
      </c>
    </row>
    <row r="131" spans="1:8" x14ac:dyDescent="0.45">
      <c r="A131" vm="498">
        <v>45173</v>
      </c>
      <c r="B131" vm="499">
        <v>984.3</v>
      </c>
      <c r="D131">
        <f t="shared" si="2"/>
        <v>-2.0743172660796918E-2</v>
      </c>
      <c r="F131" vm="498">
        <v>45173</v>
      </c>
      <c r="G131" vm="500">
        <v>19819.95</v>
      </c>
      <c r="H131">
        <f t="shared" si="3"/>
        <v>1.9791307569216914E-2</v>
      </c>
    </row>
    <row r="132" spans="1:8" x14ac:dyDescent="0.45">
      <c r="A132" vm="501">
        <v>45180</v>
      </c>
      <c r="B132" vm="502">
        <v>940.4</v>
      </c>
      <c r="D132">
        <f t="shared" si="2"/>
        <v>-4.4600223509092735E-2</v>
      </c>
      <c r="F132" vm="501">
        <v>45180</v>
      </c>
      <c r="G132" vm="503">
        <v>20192.349999999999</v>
      </c>
      <c r="H132">
        <f t="shared" si="3"/>
        <v>1.8789149316723694E-2</v>
      </c>
    </row>
    <row r="133" spans="1:8" x14ac:dyDescent="0.45">
      <c r="A133" vm="504">
        <v>45187</v>
      </c>
      <c r="B133" vm="505">
        <v>878.95</v>
      </c>
      <c r="D133">
        <f t="shared" ref="D133:D195" si="4">(B133-B132)/B132</f>
        <v>-6.5344534240748542E-2</v>
      </c>
      <c r="F133" vm="504">
        <v>45187</v>
      </c>
      <c r="G133" vm="506">
        <v>19674.25</v>
      </c>
      <c r="H133">
        <f t="shared" ref="H133:H195" si="5">(G133-G132)/G132</f>
        <v>-2.5658231954180596E-2</v>
      </c>
    </row>
    <row r="134" spans="1:8" x14ac:dyDescent="0.45">
      <c r="A134" vm="507">
        <v>45194</v>
      </c>
      <c r="B134" vm="92">
        <v>884.85</v>
      </c>
      <c r="D134">
        <f t="shared" si="4"/>
        <v>6.7125547528300552E-3</v>
      </c>
      <c r="F134" vm="507">
        <v>45194</v>
      </c>
      <c r="G134" vm="93">
        <v>19638.3</v>
      </c>
      <c r="H134">
        <f t="shared" si="5"/>
        <v>-1.8272615220402673E-3</v>
      </c>
    </row>
    <row r="135" spans="1:8" x14ac:dyDescent="0.45">
      <c r="A135" vm="508">
        <v>45202</v>
      </c>
      <c r="B135" vm="509">
        <v>891.05</v>
      </c>
      <c r="D135">
        <f t="shared" si="4"/>
        <v>7.0068373170593112E-3</v>
      </c>
      <c r="F135" vm="508">
        <v>45202</v>
      </c>
      <c r="G135" vm="510">
        <v>19653.5</v>
      </c>
      <c r="H135">
        <f t="shared" si="5"/>
        <v>7.7399774929605555E-4</v>
      </c>
    </row>
    <row r="136" spans="1:8" x14ac:dyDescent="0.45">
      <c r="A136" vm="511">
        <v>45208</v>
      </c>
      <c r="B136" vm="512">
        <v>884.15</v>
      </c>
      <c r="D136">
        <f t="shared" si="4"/>
        <v>-7.7436731945457358E-3</v>
      </c>
      <c r="F136" vm="511">
        <v>45208</v>
      </c>
      <c r="G136" vm="513">
        <v>19751.05</v>
      </c>
      <c r="H136">
        <f t="shared" si="5"/>
        <v>4.9634925076957933E-3</v>
      </c>
    </row>
    <row r="137" spans="1:8" x14ac:dyDescent="0.45">
      <c r="A137" vm="514">
        <v>45215</v>
      </c>
      <c r="B137" vm="515">
        <v>851.25</v>
      </c>
      <c r="D137">
        <f t="shared" si="4"/>
        <v>-3.7210880506701328E-2</v>
      </c>
      <c r="F137" vm="514">
        <v>45215</v>
      </c>
      <c r="G137" vm="516">
        <v>19542.650000000001</v>
      </c>
      <c r="H137">
        <f t="shared" si="5"/>
        <v>-1.0551337776978835E-2</v>
      </c>
    </row>
    <row r="138" spans="1:8" x14ac:dyDescent="0.45">
      <c r="A138" vm="517">
        <v>45222</v>
      </c>
      <c r="B138" vm="518">
        <v>851.8</v>
      </c>
      <c r="D138">
        <f t="shared" si="4"/>
        <v>6.4610866372975567E-4</v>
      </c>
      <c r="F138" vm="517">
        <v>45222</v>
      </c>
      <c r="G138" vm="519">
        <v>19047.25</v>
      </c>
      <c r="H138">
        <f t="shared" si="5"/>
        <v>-2.5349683896503362E-2</v>
      </c>
    </row>
    <row r="139" spans="1:8" x14ac:dyDescent="0.45">
      <c r="A139" vm="520">
        <v>45229</v>
      </c>
      <c r="B139" vm="521">
        <v>905.95</v>
      </c>
      <c r="D139">
        <f t="shared" si="4"/>
        <v>6.3571260859356771E-2</v>
      </c>
      <c r="F139" vm="520">
        <v>45229</v>
      </c>
      <c r="G139" vm="522">
        <v>19230.599999999999</v>
      </c>
      <c r="H139">
        <f t="shared" si="5"/>
        <v>9.6260615049415816E-3</v>
      </c>
    </row>
    <row r="140" spans="1:8" x14ac:dyDescent="0.45">
      <c r="A140" vm="523">
        <v>45236</v>
      </c>
      <c r="B140" vm="524">
        <v>906.3</v>
      </c>
      <c r="D140">
        <f t="shared" si="4"/>
        <v>3.8633478668790666E-4</v>
      </c>
      <c r="F140" vm="523">
        <v>45236</v>
      </c>
      <c r="G140" vm="525">
        <v>19425.349999999999</v>
      </c>
      <c r="H140">
        <f t="shared" si="5"/>
        <v>1.0127089118384242E-2</v>
      </c>
    </row>
    <row r="141" spans="1:8" x14ac:dyDescent="0.45">
      <c r="A141" vm="526">
        <v>45242</v>
      </c>
      <c r="B141" vm="527">
        <v>931.6</v>
      </c>
      <c r="D141">
        <f t="shared" si="4"/>
        <v>2.7915701202692343E-2</v>
      </c>
      <c r="F141" vm="526">
        <v>45242</v>
      </c>
      <c r="G141" vm="528">
        <v>19731.8</v>
      </c>
      <c r="H141">
        <f t="shared" si="5"/>
        <v>1.5775777527818072E-2</v>
      </c>
    </row>
    <row r="142" spans="1:8" x14ac:dyDescent="0.45">
      <c r="A142" vm="529">
        <v>45250</v>
      </c>
      <c r="B142" vm="530">
        <v>949.95</v>
      </c>
      <c r="D142">
        <f t="shared" si="4"/>
        <v>1.9697294976384738E-2</v>
      </c>
      <c r="F142" vm="529">
        <v>45250</v>
      </c>
      <c r="G142" vm="531">
        <v>19794.7</v>
      </c>
      <c r="H142">
        <f t="shared" si="5"/>
        <v>3.187747696611635E-3</v>
      </c>
    </row>
    <row r="143" spans="1:8" x14ac:dyDescent="0.45">
      <c r="A143" vm="532">
        <v>45258</v>
      </c>
      <c r="B143" vm="533">
        <v>1013.8</v>
      </c>
      <c r="D143">
        <f t="shared" si="4"/>
        <v>6.7214063898099807E-2</v>
      </c>
      <c r="F143" vm="532">
        <v>45258</v>
      </c>
      <c r="G143" vm="534">
        <v>20267.900000000001</v>
      </c>
      <c r="H143">
        <f t="shared" si="5"/>
        <v>2.390538881619831E-2</v>
      </c>
    </row>
    <row r="144" spans="1:8" x14ac:dyDescent="0.45">
      <c r="A144" vm="535">
        <v>45264</v>
      </c>
      <c r="B144" vm="536">
        <v>1036.0999999999999</v>
      </c>
      <c r="D144">
        <f t="shared" si="4"/>
        <v>2.1996449003748229E-2</v>
      </c>
      <c r="F144" vm="535">
        <v>45264</v>
      </c>
      <c r="G144" vm="537">
        <v>20969.400000000001</v>
      </c>
      <c r="H144">
        <f t="shared" si="5"/>
        <v>3.461138055743318E-2</v>
      </c>
    </row>
    <row r="145" spans="1:8" x14ac:dyDescent="0.45">
      <c r="A145" vm="538">
        <v>45271</v>
      </c>
      <c r="B145" vm="539">
        <v>1040.6500000000001</v>
      </c>
      <c r="D145">
        <f t="shared" si="4"/>
        <v>4.3914680050189964E-3</v>
      </c>
      <c r="F145" vm="538">
        <v>45271</v>
      </c>
      <c r="G145" vm="540">
        <v>21456.65</v>
      </c>
      <c r="H145">
        <f t="shared" si="5"/>
        <v>2.3236239472755538E-2</v>
      </c>
    </row>
    <row r="146" spans="1:8" x14ac:dyDescent="0.45">
      <c r="A146" vm="541">
        <v>45278</v>
      </c>
      <c r="B146" vm="542">
        <v>1008.5</v>
      </c>
      <c r="D146">
        <f t="shared" si="4"/>
        <v>-3.0894152693028479E-2</v>
      </c>
      <c r="F146" vm="541">
        <v>45278</v>
      </c>
      <c r="G146" vm="543">
        <v>21349.4</v>
      </c>
      <c r="H146">
        <f t="shared" si="5"/>
        <v>-4.9984503638732048E-3</v>
      </c>
    </row>
    <row r="147" spans="1:8" x14ac:dyDescent="0.45">
      <c r="A147" vm="544">
        <v>45286</v>
      </c>
      <c r="B147" vm="101">
        <v>1052.05</v>
      </c>
      <c r="D147">
        <f t="shared" si="4"/>
        <v>4.3182944967773876E-2</v>
      </c>
      <c r="F147" vm="544">
        <v>45286</v>
      </c>
      <c r="G147" vm="102">
        <v>21731.4</v>
      </c>
      <c r="H147">
        <f t="shared" si="5"/>
        <v>1.7892774504201521E-2</v>
      </c>
    </row>
    <row r="148" spans="1:8" x14ac:dyDescent="0.45">
      <c r="A148" vm="103">
        <v>45292</v>
      </c>
      <c r="B148" vm="545">
        <v>1070.8</v>
      </c>
      <c r="D148">
        <f t="shared" si="4"/>
        <v>1.7822346846632767E-2</v>
      </c>
      <c r="F148" vm="103">
        <v>45292</v>
      </c>
      <c r="G148" vm="546">
        <v>21710.799999999999</v>
      </c>
      <c r="H148">
        <f t="shared" si="5"/>
        <v>-9.4793708642803415E-4</v>
      </c>
    </row>
    <row r="149" spans="1:8" x14ac:dyDescent="0.45">
      <c r="A149" vm="547">
        <v>45299</v>
      </c>
      <c r="B149" vm="548">
        <v>959.65</v>
      </c>
      <c r="D149">
        <f t="shared" si="4"/>
        <v>-0.10380089652596187</v>
      </c>
      <c r="F149" vm="547">
        <v>45299</v>
      </c>
      <c r="G149" vm="549">
        <v>21894.55</v>
      </c>
      <c r="H149">
        <f t="shared" si="5"/>
        <v>8.4635296718683795E-3</v>
      </c>
    </row>
    <row r="150" spans="1:8" x14ac:dyDescent="0.45">
      <c r="A150" vm="550">
        <v>45306</v>
      </c>
      <c r="B150" vm="551">
        <v>932.8</v>
      </c>
      <c r="D150">
        <f t="shared" si="4"/>
        <v>-2.7978950659094486E-2</v>
      </c>
      <c r="F150" vm="550">
        <v>45306</v>
      </c>
      <c r="G150" vm="552">
        <v>21571.8</v>
      </c>
      <c r="H150">
        <f t="shared" si="5"/>
        <v>-1.4741111372464838E-2</v>
      </c>
    </row>
    <row r="151" spans="1:8" x14ac:dyDescent="0.45">
      <c r="A151" vm="553">
        <v>45314</v>
      </c>
      <c r="B151" vm="554">
        <v>964.5</v>
      </c>
      <c r="D151">
        <f t="shared" si="4"/>
        <v>3.3983704974271063E-2</v>
      </c>
      <c r="F151" vm="553">
        <v>45314</v>
      </c>
      <c r="G151" vm="555">
        <v>21352.6</v>
      </c>
      <c r="H151">
        <f t="shared" si="5"/>
        <v>-1.0161414439221611E-2</v>
      </c>
    </row>
    <row r="152" spans="1:8" x14ac:dyDescent="0.45">
      <c r="A152" vm="556">
        <v>45320</v>
      </c>
      <c r="B152" vm="557">
        <v>950.3</v>
      </c>
      <c r="D152">
        <f t="shared" si="4"/>
        <v>-1.4722654224987086E-2</v>
      </c>
      <c r="F152" vm="556">
        <v>45320</v>
      </c>
      <c r="G152" vm="558">
        <v>21853.8</v>
      </c>
      <c r="H152">
        <f t="shared" si="5"/>
        <v>2.3472551352060205E-2</v>
      </c>
    </row>
    <row r="153" spans="1:8" x14ac:dyDescent="0.45">
      <c r="A153" vm="559">
        <v>45327</v>
      </c>
      <c r="B153" vm="560">
        <v>922.5</v>
      </c>
      <c r="D153">
        <f t="shared" si="4"/>
        <v>-2.925391981479528E-2</v>
      </c>
      <c r="F153" vm="559">
        <v>45327</v>
      </c>
      <c r="G153" vm="561">
        <v>21782.5</v>
      </c>
      <c r="H153">
        <f t="shared" si="5"/>
        <v>-3.2625904876954705E-3</v>
      </c>
    </row>
    <row r="154" spans="1:8" x14ac:dyDescent="0.45">
      <c r="A154" vm="562">
        <v>45334</v>
      </c>
      <c r="B154" vm="563">
        <v>906.15</v>
      </c>
      <c r="D154">
        <f t="shared" si="4"/>
        <v>-1.7723577235772382E-2</v>
      </c>
      <c r="F154" vm="562">
        <v>45334</v>
      </c>
      <c r="G154" vm="564">
        <v>22040.7</v>
      </c>
      <c r="H154">
        <f t="shared" si="5"/>
        <v>1.1853552163433983E-2</v>
      </c>
    </row>
    <row r="155" spans="1:8" x14ac:dyDescent="0.45">
      <c r="A155" vm="565">
        <v>45341</v>
      </c>
      <c r="B155" vm="566">
        <v>940.45</v>
      </c>
      <c r="D155">
        <f t="shared" si="4"/>
        <v>3.7852452684434219E-2</v>
      </c>
      <c r="F155" vm="565">
        <v>45341</v>
      </c>
      <c r="G155" vm="567">
        <v>22212.7</v>
      </c>
      <c r="H155">
        <f t="shared" si="5"/>
        <v>7.8037448901350677E-3</v>
      </c>
    </row>
    <row r="156" spans="1:8" x14ac:dyDescent="0.45">
      <c r="A156" vm="568">
        <v>45348</v>
      </c>
      <c r="B156" vm="569">
        <v>958.1</v>
      </c>
      <c r="D156">
        <f t="shared" si="4"/>
        <v>1.8767611249933518E-2</v>
      </c>
      <c r="F156" vm="568">
        <v>45348</v>
      </c>
      <c r="G156" vm="570">
        <v>22378.400000000001</v>
      </c>
      <c r="H156">
        <f t="shared" si="5"/>
        <v>7.4596964799416871E-3</v>
      </c>
    </row>
    <row r="157" spans="1:8" x14ac:dyDescent="0.45">
      <c r="A157" vm="571">
        <v>45355</v>
      </c>
      <c r="B157" vm="572">
        <v>936.65</v>
      </c>
      <c r="D157">
        <f t="shared" si="4"/>
        <v>-2.2388059701492585E-2</v>
      </c>
      <c r="F157" vm="571">
        <v>45355</v>
      </c>
      <c r="G157" vm="573">
        <v>22493.55</v>
      </c>
      <c r="H157">
        <f t="shared" si="5"/>
        <v>5.145586815858051E-3</v>
      </c>
    </row>
    <row r="158" spans="1:8" x14ac:dyDescent="0.45">
      <c r="A158" vm="574">
        <v>45362</v>
      </c>
      <c r="B158" vm="575">
        <v>910.05</v>
      </c>
      <c r="D158">
        <f t="shared" si="4"/>
        <v>-2.8399081834196364E-2</v>
      </c>
      <c r="F158" vm="574">
        <v>45362</v>
      </c>
      <c r="G158" vm="576">
        <v>22023.35</v>
      </c>
      <c r="H158">
        <f t="shared" si="5"/>
        <v>-2.0903770191899488E-2</v>
      </c>
    </row>
    <row r="159" spans="1:8" x14ac:dyDescent="0.45">
      <c r="A159" vm="577">
        <v>45369</v>
      </c>
      <c r="B159" vm="578">
        <v>887.8</v>
      </c>
      <c r="D159">
        <f t="shared" si="4"/>
        <v>-2.4449206087577606E-2</v>
      </c>
      <c r="F159" vm="577">
        <v>45369</v>
      </c>
      <c r="G159" vm="579">
        <v>22096.75</v>
      </c>
      <c r="H159">
        <f t="shared" si="5"/>
        <v>3.3328262957271013E-3</v>
      </c>
    </row>
    <row r="160" spans="1:8" x14ac:dyDescent="0.45">
      <c r="A160" vm="580">
        <v>45377</v>
      </c>
      <c r="B160" vm="110">
        <v>870.45</v>
      </c>
      <c r="D160">
        <f t="shared" si="4"/>
        <v>-1.9542689794998774E-2</v>
      </c>
      <c r="F160" vm="580">
        <v>45377</v>
      </c>
      <c r="G160" vm="111">
        <v>22326.9</v>
      </c>
      <c r="H160">
        <f t="shared" si="5"/>
        <v>1.0415558849152091E-2</v>
      </c>
    </row>
    <row r="161" spans="1:8" x14ac:dyDescent="0.45">
      <c r="A161" vm="112">
        <v>45383</v>
      </c>
      <c r="B161" vm="581">
        <v>893.2</v>
      </c>
      <c r="D161">
        <f t="shared" si="4"/>
        <v>2.613590671491757E-2</v>
      </c>
      <c r="F161" vm="112">
        <v>45383</v>
      </c>
      <c r="G161" vm="582">
        <v>22513.7</v>
      </c>
      <c r="H161">
        <f t="shared" si="5"/>
        <v>8.3665891816597591E-3</v>
      </c>
    </row>
    <row r="162" spans="1:8" x14ac:dyDescent="0.45">
      <c r="A162" vm="583">
        <v>45390</v>
      </c>
      <c r="B162" vm="584">
        <v>866.05</v>
      </c>
      <c r="D162">
        <f t="shared" si="4"/>
        <v>-3.0396327810121013E-2</v>
      </c>
      <c r="F162" vm="583">
        <v>45390</v>
      </c>
      <c r="G162" vm="585">
        <v>22519.4</v>
      </c>
      <c r="H162">
        <f t="shared" si="5"/>
        <v>2.5317917534659908E-4</v>
      </c>
    </row>
    <row r="163" spans="1:8" x14ac:dyDescent="0.45">
      <c r="A163" vm="586">
        <v>45397</v>
      </c>
      <c r="B163" vm="587">
        <v>880.1</v>
      </c>
      <c r="D163">
        <f t="shared" si="4"/>
        <v>1.6223081808209767E-2</v>
      </c>
      <c r="F163" vm="586">
        <v>45397</v>
      </c>
      <c r="G163" vm="588">
        <v>22147</v>
      </c>
      <c r="H163">
        <f t="shared" si="5"/>
        <v>-1.6536852669254129E-2</v>
      </c>
    </row>
    <row r="164" spans="1:8" x14ac:dyDescent="0.45">
      <c r="A164" vm="589">
        <v>45404</v>
      </c>
      <c r="B164" vm="590">
        <v>840.55</v>
      </c>
      <c r="D164">
        <f t="shared" si="4"/>
        <v>-4.4938075218725219E-2</v>
      </c>
      <c r="F164" vm="589">
        <v>45404</v>
      </c>
      <c r="G164" vm="591">
        <v>22419.95</v>
      </c>
      <c r="H164">
        <f t="shared" si="5"/>
        <v>1.2324468325281109E-2</v>
      </c>
    </row>
    <row r="165" spans="1:8" x14ac:dyDescent="0.45">
      <c r="A165" vm="592">
        <v>45411</v>
      </c>
      <c r="B165" vm="593">
        <v>834.65</v>
      </c>
      <c r="D165">
        <f t="shared" si="4"/>
        <v>-7.019213610136194E-3</v>
      </c>
      <c r="F165" vm="592">
        <v>45411</v>
      </c>
      <c r="G165" vm="594">
        <v>22475.85</v>
      </c>
      <c r="H165">
        <f t="shared" si="5"/>
        <v>2.4933151055197634E-3</v>
      </c>
    </row>
    <row r="166" spans="1:8" x14ac:dyDescent="0.45">
      <c r="A166" vm="595">
        <v>45418</v>
      </c>
      <c r="B166" vm="596">
        <v>788.75</v>
      </c>
      <c r="D166">
        <f t="shared" si="4"/>
        <v>-5.4993110884801986E-2</v>
      </c>
      <c r="F166" vm="595">
        <v>45418</v>
      </c>
      <c r="G166" vm="597">
        <v>22055.200000000001</v>
      </c>
      <c r="H166">
        <f t="shared" si="5"/>
        <v>-1.8715643679771746E-2</v>
      </c>
    </row>
    <row r="167" spans="1:8" x14ac:dyDescent="0.45">
      <c r="A167" vm="598">
        <v>45425</v>
      </c>
      <c r="B167" vm="599">
        <v>784.35</v>
      </c>
      <c r="D167">
        <f t="shared" si="4"/>
        <v>-5.5784469096671662E-3</v>
      </c>
      <c r="F167" vm="598">
        <v>45425</v>
      </c>
      <c r="G167" vm="600">
        <v>22502</v>
      </c>
      <c r="H167">
        <f t="shared" si="5"/>
        <v>2.0258261090355074E-2</v>
      </c>
    </row>
    <row r="168" spans="1:8" x14ac:dyDescent="0.45">
      <c r="A168" vm="601">
        <v>45433</v>
      </c>
      <c r="B168" vm="602">
        <v>762.9</v>
      </c>
      <c r="D168">
        <f t="shared" si="4"/>
        <v>-2.7347485178810537E-2</v>
      </c>
      <c r="F168" vm="601">
        <v>45433</v>
      </c>
      <c r="G168" vm="603">
        <v>22957.1</v>
      </c>
      <c r="H168">
        <f t="shared" si="5"/>
        <v>2.022486890054211E-2</v>
      </c>
    </row>
    <row r="169" spans="1:8" x14ac:dyDescent="0.45">
      <c r="A169" vm="604">
        <v>45439</v>
      </c>
      <c r="B169" vm="116">
        <v>762.65</v>
      </c>
      <c r="D169">
        <f t="shared" si="4"/>
        <v>-3.2769694586446454E-4</v>
      </c>
      <c r="F169" vm="604">
        <v>45439</v>
      </c>
      <c r="G169" vm="117">
        <v>22530.7</v>
      </c>
      <c r="H169">
        <f t="shared" si="5"/>
        <v>-1.8573774562117944E-2</v>
      </c>
    </row>
    <row r="170" spans="1:8" x14ac:dyDescent="0.45">
      <c r="A170" vm="605">
        <v>45446</v>
      </c>
      <c r="B170" vm="606">
        <v>769.85</v>
      </c>
      <c r="D170">
        <f t="shared" si="4"/>
        <v>9.4407657509998633E-3</v>
      </c>
      <c r="F170" vm="605">
        <v>45446</v>
      </c>
      <c r="G170" vm="607">
        <v>23290.15</v>
      </c>
      <c r="H170">
        <f t="shared" si="5"/>
        <v>3.3707341538434257E-2</v>
      </c>
    </row>
    <row r="171" spans="1:8" x14ac:dyDescent="0.45">
      <c r="A171" vm="608">
        <v>45453</v>
      </c>
      <c r="B171" vm="609">
        <v>788.1</v>
      </c>
      <c r="D171">
        <f t="shared" si="4"/>
        <v>2.3705916737026694E-2</v>
      </c>
      <c r="F171" vm="608">
        <v>45453</v>
      </c>
      <c r="G171" vm="610">
        <v>23465.599999999999</v>
      </c>
      <c r="H171">
        <f t="shared" si="5"/>
        <v>7.5332275661598178E-3</v>
      </c>
    </row>
    <row r="172" spans="1:8" x14ac:dyDescent="0.45">
      <c r="A172" vm="611">
        <v>45461</v>
      </c>
      <c r="B172" vm="612">
        <v>778.75</v>
      </c>
      <c r="D172">
        <f t="shared" si="4"/>
        <v>-1.1863976652709076E-2</v>
      </c>
      <c r="F172" vm="611">
        <v>45461</v>
      </c>
      <c r="G172" vm="613">
        <v>23501.1</v>
      </c>
      <c r="H172">
        <f t="shared" si="5"/>
        <v>1.5128528569480432E-3</v>
      </c>
    </row>
    <row r="173" spans="1:8" x14ac:dyDescent="0.45">
      <c r="A173" vm="614">
        <v>45467</v>
      </c>
      <c r="B173" vm="119">
        <v>764.75</v>
      </c>
      <c r="D173">
        <f t="shared" si="4"/>
        <v>-1.7977528089887642E-2</v>
      </c>
      <c r="F173" vm="614">
        <v>45467</v>
      </c>
      <c r="G173" vm="120">
        <v>24010.6</v>
      </c>
      <c r="H173">
        <f t="shared" si="5"/>
        <v>2.1679836262983435E-2</v>
      </c>
    </row>
    <row r="174" spans="1:8" x14ac:dyDescent="0.45">
      <c r="A174" vm="121">
        <v>45474</v>
      </c>
      <c r="B174" vm="615">
        <v>762.75</v>
      </c>
      <c r="D174">
        <f t="shared" si="4"/>
        <v>-2.6152337365152011E-3</v>
      </c>
      <c r="F174" vm="121">
        <v>45474</v>
      </c>
      <c r="G174" vm="616">
        <v>24323.85</v>
      </c>
      <c r="H174">
        <f t="shared" si="5"/>
        <v>1.3046321208133075E-2</v>
      </c>
    </row>
    <row r="175" spans="1:8" x14ac:dyDescent="0.45">
      <c r="A175" vm="617">
        <v>45481</v>
      </c>
      <c r="B175" vm="618">
        <v>751.45</v>
      </c>
      <c r="D175">
        <f t="shared" si="4"/>
        <v>-1.4814814814814755E-2</v>
      </c>
      <c r="F175" vm="617">
        <v>45481</v>
      </c>
      <c r="G175" vm="619">
        <v>24502.15</v>
      </c>
      <c r="H175">
        <f t="shared" si="5"/>
        <v>7.3302540510652272E-3</v>
      </c>
    </row>
    <row r="176" spans="1:8" x14ac:dyDescent="0.45">
      <c r="A176" vm="620">
        <v>45488</v>
      </c>
      <c r="B176" vm="621">
        <v>784.9</v>
      </c>
      <c r="D176">
        <f t="shared" si="4"/>
        <v>4.4513939716547914E-2</v>
      </c>
      <c r="F176" vm="620">
        <v>45488</v>
      </c>
      <c r="G176" vm="622">
        <v>24530.9</v>
      </c>
      <c r="H176">
        <f t="shared" si="5"/>
        <v>1.1733664188652831E-3</v>
      </c>
    </row>
    <row r="177" spans="1:8" x14ac:dyDescent="0.45">
      <c r="A177" vm="623">
        <v>45495</v>
      </c>
      <c r="B177" vm="624">
        <v>782.9</v>
      </c>
      <c r="D177">
        <f t="shared" si="4"/>
        <v>-2.5480952987641738E-3</v>
      </c>
      <c r="F177" vm="623">
        <v>45495</v>
      </c>
      <c r="G177" vm="625">
        <v>24834.85</v>
      </c>
      <c r="H177">
        <f t="shared" si="5"/>
        <v>1.2390495252925782E-2</v>
      </c>
    </row>
    <row r="178" spans="1:8" x14ac:dyDescent="0.45">
      <c r="A178" vm="626">
        <v>45502</v>
      </c>
      <c r="B178" vm="627">
        <v>789.1</v>
      </c>
      <c r="D178">
        <f t="shared" si="4"/>
        <v>7.9192744922723796E-3</v>
      </c>
      <c r="F178" vm="626">
        <v>45502</v>
      </c>
      <c r="G178" vm="628">
        <v>24717.7</v>
      </c>
      <c r="H178">
        <f t="shared" si="5"/>
        <v>-4.7171615693268861E-3</v>
      </c>
    </row>
    <row r="179" spans="1:8" x14ac:dyDescent="0.45">
      <c r="A179" vm="629">
        <v>45509</v>
      </c>
      <c r="B179" vm="630">
        <v>779.45</v>
      </c>
      <c r="D179">
        <f t="shared" si="4"/>
        <v>-1.2229121784311212E-2</v>
      </c>
      <c r="F179" vm="629">
        <v>45509</v>
      </c>
      <c r="G179" vm="631">
        <v>24367.5</v>
      </c>
      <c r="H179">
        <f t="shared" si="5"/>
        <v>-1.416798488532512E-2</v>
      </c>
    </row>
    <row r="180" spans="1:8" x14ac:dyDescent="0.45">
      <c r="A180" vm="632">
        <v>45516</v>
      </c>
      <c r="B180" vm="633">
        <v>804.55</v>
      </c>
      <c r="D180">
        <f t="shared" si="4"/>
        <v>3.2202193854640973E-2</v>
      </c>
      <c r="F180" vm="632">
        <v>45516</v>
      </c>
      <c r="G180" vm="634">
        <v>24541.15</v>
      </c>
      <c r="H180">
        <f t="shared" si="5"/>
        <v>7.1262952703396512E-3</v>
      </c>
    </row>
    <row r="181" spans="1:8" x14ac:dyDescent="0.45">
      <c r="A181" vm="635">
        <v>45523</v>
      </c>
      <c r="B181" vm="216">
        <v>781.35</v>
      </c>
      <c r="D181">
        <f t="shared" si="4"/>
        <v>-2.8835995276862758E-2</v>
      </c>
      <c r="F181" vm="635">
        <v>45523</v>
      </c>
      <c r="G181" vm="636">
        <v>24823.15</v>
      </c>
      <c r="H181">
        <f t="shared" si="5"/>
        <v>1.1490904052988551E-2</v>
      </c>
    </row>
    <row r="182" spans="1:8" x14ac:dyDescent="0.45">
      <c r="A182" vm="637">
        <v>45530</v>
      </c>
      <c r="B182" vm="125">
        <v>778.8</v>
      </c>
      <c r="D182">
        <f t="shared" si="4"/>
        <v>-3.2635822614706191E-3</v>
      </c>
      <c r="F182" vm="637">
        <v>45530</v>
      </c>
      <c r="G182" vm="126">
        <v>25235.9</v>
      </c>
      <c r="H182">
        <f t="shared" si="5"/>
        <v>1.6627623810837867E-2</v>
      </c>
    </row>
    <row r="183" spans="1:8" x14ac:dyDescent="0.45">
      <c r="A183" vm="638">
        <v>45537</v>
      </c>
      <c r="B183" vm="639">
        <v>762.8</v>
      </c>
      <c r="D183">
        <f t="shared" si="4"/>
        <v>-2.0544427324088343E-2</v>
      </c>
      <c r="F183" vm="638">
        <v>45537</v>
      </c>
      <c r="G183" vm="640">
        <v>24852.15</v>
      </c>
      <c r="H183">
        <f t="shared" si="5"/>
        <v>-1.5206511358818191E-2</v>
      </c>
    </row>
    <row r="184" spans="1:8" x14ac:dyDescent="0.45">
      <c r="A184" vm="641">
        <v>45544</v>
      </c>
      <c r="B184" vm="642">
        <v>769.3</v>
      </c>
      <c r="D184">
        <f t="shared" si="4"/>
        <v>8.5212375458835875E-3</v>
      </c>
      <c r="F184" vm="641">
        <v>45544</v>
      </c>
      <c r="G184" vm="643">
        <v>25356.5</v>
      </c>
      <c r="H184">
        <f t="shared" si="5"/>
        <v>2.029401882734486E-2</v>
      </c>
    </row>
    <row r="185" spans="1:8" x14ac:dyDescent="0.45">
      <c r="A185" vm="644">
        <v>45551</v>
      </c>
      <c r="B185" vm="645">
        <v>747.9</v>
      </c>
      <c r="D185">
        <f t="shared" si="4"/>
        <v>-2.7817496425321692E-2</v>
      </c>
      <c r="F185" vm="644">
        <v>45551</v>
      </c>
      <c r="G185" vm="646">
        <v>25790.95</v>
      </c>
      <c r="H185">
        <f t="shared" si="5"/>
        <v>1.7133673811448771E-2</v>
      </c>
    </row>
    <row r="186" spans="1:8" x14ac:dyDescent="0.45">
      <c r="A186" vm="647">
        <v>45558</v>
      </c>
      <c r="B186" vm="648">
        <v>728.25</v>
      </c>
      <c r="D186">
        <f t="shared" si="4"/>
        <v>-2.6273565984757292E-2</v>
      </c>
      <c r="F186" vm="647">
        <v>45558</v>
      </c>
      <c r="G186" vm="649">
        <v>26178.95</v>
      </c>
      <c r="H186">
        <f t="shared" si="5"/>
        <v>1.5044036764834175E-2</v>
      </c>
    </row>
    <row r="187" spans="1:8" x14ac:dyDescent="0.45">
      <c r="A187" vm="650">
        <v>45565</v>
      </c>
      <c r="B187" vm="651">
        <v>746.25</v>
      </c>
      <c r="D187">
        <f t="shared" si="4"/>
        <v>2.4716786817713696E-2</v>
      </c>
      <c r="F187" vm="650">
        <v>45565</v>
      </c>
      <c r="G187" vm="652">
        <v>25014.6</v>
      </c>
      <c r="H187">
        <f t="shared" si="5"/>
        <v>-4.4476573735768708E-2</v>
      </c>
    </row>
    <row r="188" spans="1:8" x14ac:dyDescent="0.45">
      <c r="A188" vm="653">
        <v>45572</v>
      </c>
      <c r="B188" vm="654">
        <v>735.3</v>
      </c>
      <c r="D188">
        <f t="shared" si="4"/>
        <v>-1.4673366834170915E-2</v>
      </c>
      <c r="F188" vm="653">
        <v>45572</v>
      </c>
      <c r="G188" vm="655">
        <v>24964.25</v>
      </c>
      <c r="H188">
        <f t="shared" si="5"/>
        <v>-2.012824510485818E-3</v>
      </c>
    </row>
    <row r="189" spans="1:8" x14ac:dyDescent="0.45">
      <c r="A189" vm="656">
        <v>45579</v>
      </c>
      <c r="B189" vm="657">
        <v>726.45</v>
      </c>
      <c r="D189">
        <f t="shared" si="4"/>
        <v>-1.2035903712770175E-2</v>
      </c>
      <c r="F189" vm="656">
        <v>45579</v>
      </c>
      <c r="G189" vm="658">
        <v>24854.05</v>
      </c>
      <c r="H189">
        <f t="shared" si="5"/>
        <v>-4.4143124668275923E-3</v>
      </c>
    </row>
    <row r="190" spans="1:8" x14ac:dyDescent="0.45">
      <c r="A190" vm="659">
        <v>45586</v>
      </c>
      <c r="B190" vm="660">
        <v>688.75</v>
      </c>
      <c r="D190">
        <f t="shared" si="4"/>
        <v>-5.1896207584830399E-2</v>
      </c>
      <c r="F190" vm="659">
        <v>45586</v>
      </c>
      <c r="G190" vm="661">
        <v>24180.799999999999</v>
      </c>
      <c r="H190">
        <f t="shared" si="5"/>
        <v>-2.7088140564616229E-2</v>
      </c>
    </row>
    <row r="191" spans="1:8" x14ac:dyDescent="0.45">
      <c r="A191" vm="662">
        <v>45593</v>
      </c>
      <c r="B191" vm="663">
        <v>735.05</v>
      </c>
      <c r="D191">
        <f t="shared" si="4"/>
        <v>6.7223230490018077E-2</v>
      </c>
      <c r="F191" vm="662">
        <v>45593</v>
      </c>
      <c r="G191" vm="664">
        <v>24304.35</v>
      </c>
      <c r="H191">
        <f t="shared" si="5"/>
        <v>5.1094256600277606E-3</v>
      </c>
    </row>
    <row r="192" spans="1:8" x14ac:dyDescent="0.45">
      <c r="A192" vm="665">
        <v>45600</v>
      </c>
      <c r="B192" vm="666">
        <v>736.2</v>
      </c>
      <c r="D192">
        <f t="shared" si="4"/>
        <v>1.5645194204477123E-3</v>
      </c>
      <c r="F192" vm="665">
        <v>45600</v>
      </c>
      <c r="G192" vm="667">
        <v>24148.2</v>
      </c>
      <c r="H192">
        <f t="shared" si="5"/>
        <v>-6.424775811737316E-3</v>
      </c>
    </row>
    <row r="193" spans="1:8" x14ac:dyDescent="0.45">
      <c r="A193" vm="668">
        <v>45607</v>
      </c>
      <c r="B193" vm="669">
        <v>734.85</v>
      </c>
      <c r="D193">
        <f t="shared" si="4"/>
        <v>-1.8337408312958743E-3</v>
      </c>
      <c r="F193" vm="668">
        <v>45607</v>
      </c>
      <c r="G193" vm="670">
        <v>23532.7</v>
      </c>
      <c r="H193">
        <f t="shared" si="5"/>
        <v>-2.5488442202731467E-2</v>
      </c>
    </row>
    <row r="194" spans="1:8" x14ac:dyDescent="0.45">
      <c r="A194" vm="671">
        <v>45614</v>
      </c>
      <c r="B194" vm="172">
        <v>733.2</v>
      </c>
      <c r="D194">
        <f t="shared" si="4"/>
        <v>-2.2453561951418346E-3</v>
      </c>
      <c r="F194" vm="671">
        <v>45614</v>
      </c>
      <c r="G194" vm="672">
        <v>23907.25</v>
      </c>
      <c r="H194">
        <f t="shared" si="5"/>
        <v>1.5916150717937137E-2</v>
      </c>
    </row>
    <row r="195" spans="1:8" x14ac:dyDescent="0.45">
      <c r="A195" vm="673">
        <v>45621</v>
      </c>
      <c r="B195" vm="674">
        <v>728.65</v>
      </c>
      <c r="D195">
        <f t="shared" si="4"/>
        <v>-6.2056737588653405E-3</v>
      </c>
      <c r="F195" vm="673">
        <v>45621</v>
      </c>
      <c r="G195" vm="675">
        <v>24221.9</v>
      </c>
      <c r="H195">
        <f t="shared" si="5"/>
        <v>1.316127952817666E-2</v>
      </c>
    </row>
  </sheetData>
  <mergeCells count="4">
    <mergeCell ref="A1:C1"/>
    <mergeCell ref="F1:G1"/>
    <mergeCell ref="O1:Q1"/>
    <mergeCell ref="O28:R28"/>
  </mergeCells>
  <hyperlinks>
    <hyperlink ref="O28" r:id="rId1" xr:uid="{9F0E58DB-21B9-4AE6-83D2-2FB91F338F5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04636-B516-4083-830A-9F24C84F6A33}">
  <dimension ref="A1:V913"/>
  <sheetViews>
    <sheetView workbookViewId="0">
      <selection activeCell="M15" sqref="M15"/>
    </sheetView>
  </sheetViews>
  <sheetFormatPr defaultRowHeight="14.25" x14ac:dyDescent="0.45"/>
  <cols>
    <col min="1" max="1" width="10.33203125" customWidth="1"/>
    <col min="2" max="2" width="10.1328125" bestFit="1" customWidth="1"/>
    <col min="6" max="6" width="10.33203125" bestFit="1" customWidth="1"/>
    <col min="7" max="7" width="11.1328125" bestFit="1" customWidth="1"/>
    <col min="19" max="19" width="13.6640625" bestFit="1" customWidth="1"/>
    <col min="24" max="24" width="15.1328125" bestFit="1" customWidth="1"/>
    <col min="25" max="25" width="12.6640625" bestFit="1" customWidth="1"/>
  </cols>
  <sheetData>
    <row r="1" spans="1:22" x14ac:dyDescent="0.45">
      <c r="A1" s="25" t="s">
        <v>126</v>
      </c>
      <c r="B1" s="25"/>
      <c r="D1" s="29" t="s">
        <v>1</v>
      </c>
      <c r="F1" s="33" t="s">
        <v>2</v>
      </c>
      <c r="G1" s="33"/>
      <c r="H1" s="29" t="s">
        <v>3</v>
      </c>
      <c r="O1" s="33" t="s">
        <v>127</v>
      </c>
      <c r="P1" s="33"/>
      <c r="Q1" s="33"/>
      <c r="S1" s="29" t="s">
        <v>128</v>
      </c>
      <c r="T1" t="s">
        <v>6</v>
      </c>
      <c r="U1" s="26" t="s">
        <v>129</v>
      </c>
      <c r="V1" s="26"/>
    </row>
    <row r="2" spans="1:22" x14ac:dyDescent="0.45">
      <c r="A2" s="21" t="s">
        <v>13</v>
      </c>
      <c r="B2" s="21" t="s">
        <v>14</v>
      </c>
      <c r="F2" s="21" t="s">
        <v>13</v>
      </c>
      <c r="G2" s="21" t="s">
        <v>14</v>
      </c>
      <c r="J2" t="s">
        <v>15</v>
      </c>
      <c r="K2" t="s">
        <v>16</v>
      </c>
      <c r="L2" s="26" t="s">
        <v>17</v>
      </c>
      <c r="O2">
        <v>2024</v>
      </c>
      <c r="T2" t="s">
        <v>18</v>
      </c>
      <c r="U2" s="26" t="s">
        <v>130</v>
      </c>
      <c r="V2" s="26"/>
    </row>
    <row r="3" spans="1:22" x14ac:dyDescent="0.45">
      <c r="A3" s="21" t="s">
        <v>248</v>
      </c>
      <c r="B3" s="22">
        <v>526.79999999999995</v>
      </c>
      <c r="F3" s="21" t="s">
        <v>248</v>
      </c>
      <c r="G3" s="22">
        <v>14549.4</v>
      </c>
      <c r="J3">
        <f>_xlfn.COVARIANCE.P(D4:D47,H4:H47)</f>
        <v>8.4944210607090366E-5</v>
      </c>
      <c r="K3">
        <f>_xlfn.VAR.P(H4:H47)</f>
        <v>1.2664871644025747E-4</v>
      </c>
      <c r="L3" s="26">
        <f>J3/K3</f>
        <v>0.67070723647767971</v>
      </c>
      <c r="O3">
        <v>2023</v>
      </c>
      <c r="P3">
        <v>19.420000000000002</v>
      </c>
      <c r="S3">
        <v>15.60916667</v>
      </c>
      <c r="T3">
        <v>6.5</v>
      </c>
      <c r="U3" s="26">
        <f>U4*100</f>
        <v>12.609584003850289</v>
      </c>
      <c r="V3" s="26"/>
    </row>
    <row r="4" spans="1:22" x14ac:dyDescent="0.45">
      <c r="A4" s="21" t="s">
        <v>249</v>
      </c>
      <c r="B4" s="22">
        <v>494.75</v>
      </c>
      <c r="D4">
        <f t="shared" ref="D4:D67" si="0">(B4-B3)/B3</f>
        <v>-6.08390280941533E-2</v>
      </c>
      <c r="F4" s="21" t="s">
        <v>249</v>
      </c>
      <c r="G4" s="22">
        <v>14324.9</v>
      </c>
      <c r="H4">
        <f>(G4-G3)/G3</f>
        <v>-1.5430189561081557E-2</v>
      </c>
      <c r="O4">
        <v>2022</v>
      </c>
      <c r="P4">
        <v>4.32</v>
      </c>
      <c r="S4">
        <f>S3/100</f>
        <v>0.15609166669999999</v>
      </c>
      <c r="T4">
        <f>T3/100</f>
        <v>6.5000000000000002E-2</v>
      </c>
      <c r="U4" s="26">
        <f>T4+L3*(S4-T4)</f>
        <v>0.12609584003850288</v>
      </c>
      <c r="V4" s="26"/>
    </row>
    <row r="5" spans="1:22" x14ac:dyDescent="0.45">
      <c r="A5" s="21" t="s">
        <v>250</v>
      </c>
      <c r="B5" s="22">
        <v>495.7</v>
      </c>
      <c r="D5">
        <f t="shared" si="0"/>
        <v>1.9201616978271625E-3</v>
      </c>
      <c r="F5" s="21" t="s">
        <v>250</v>
      </c>
      <c r="G5" s="22">
        <v>14507.3</v>
      </c>
      <c r="H5">
        <f t="shared" ref="H5:H68" si="1">(G5-G4)/G4</f>
        <v>1.2733073180266504E-2</v>
      </c>
      <c r="O5">
        <v>2021</v>
      </c>
      <c r="P5">
        <v>24.12</v>
      </c>
    </row>
    <row r="6" spans="1:22" x14ac:dyDescent="0.45">
      <c r="A6" s="21" t="s">
        <v>251</v>
      </c>
      <c r="B6" s="22">
        <v>480.3</v>
      </c>
      <c r="D6">
        <f t="shared" si="0"/>
        <v>-3.1067177728464752E-2</v>
      </c>
      <c r="F6" s="21" t="s">
        <v>251</v>
      </c>
      <c r="G6" s="22">
        <v>14845.1</v>
      </c>
      <c r="H6">
        <f t="shared" si="1"/>
        <v>2.3284829017115597E-2</v>
      </c>
      <c r="O6">
        <v>2020</v>
      </c>
      <c r="P6">
        <v>14.9</v>
      </c>
    </row>
    <row r="7" spans="1:22" x14ac:dyDescent="0.45">
      <c r="A7" s="21" t="s">
        <v>252</v>
      </c>
      <c r="B7" s="22">
        <v>489.15</v>
      </c>
      <c r="D7">
        <f t="shared" si="0"/>
        <v>1.8425983760149835E-2</v>
      </c>
      <c r="F7" s="21" t="s">
        <v>252</v>
      </c>
      <c r="G7" s="22">
        <v>14690.7</v>
      </c>
      <c r="H7">
        <f t="shared" si="1"/>
        <v>-1.0400738290749112E-2</v>
      </c>
      <c r="O7">
        <v>2019</v>
      </c>
      <c r="P7">
        <v>12.02</v>
      </c>
    </row>
    <row r="8" spans="1:22" x14ac:dyDescent="0.45">
      <c r="A8" s="23">
        <v>44200</v>
      </c>
      <c r="B8" s="22">
        <v>516.95000000000005</v>
      </c>
      <c r="D8">
        <f t="shared" si="0"/>
        <v>5.6833282224266729E-2</v>
      </c>
      <c r="F8" s="23">
        <v>44200</v>
      </c>
      <c r="G8" s="22">
        <v>14867.35</v>
      </c>
      <c r="H8">
        <f t="shared" si="1"/>
        <v>1.2024614211712146E-2</v>
      </c>
      <c r="O8">
        <v>2018</v>
      </c>
      <c r="P8">
        <v>3.15</v>
      </c>
    </row>
    <row r="9" spans="1:22" x14ac:dyDescent="0.45">
      <c r="A9" s="23">
        <v>44320</v>
      </c>
      <c r="B9" s="22">
        <v>540.95000000000005</v>
      </c>
      <c r="D9">
        <f t="shared" si="0"/>
        <v>4.6426153399748524E-2</v>
      </c>
      <c r="F9" s="23">
        <v>44320</v>
      </c>
      <c r="G9" s="22">
        <v>14637.8</v>
      </c>
      <c r="H9">
        <f t="shared" si="1"/>
        <v>-1.5439873279367277E-2</v>
      </c>
      <c r="O9">
        <v>2017</v>
      </c>
      <c r="P9">
        <v>28.65</v>
      </c>
    </row>
    <row r="10" spans="1:22" x14ac:dyDescent="0.45">
      <c r="A10" s="23">
        <v>44351</v>
      </c>
      <c r="B10" s="22">
        <v>552.1</v>
      </c>
      <c r="D10">
        <f t="shared" si="0"/>
        <v>2.0611886495979254E-2</v>
      </c>
      <c r="F10" s="23">
        <v>44351</v>
      </c>
      <c r="G10" s="22">
        <v>14683.5</v>
      </c>
      <c r="H10">
        <f t="shared" si="1"/>
        <v>3.1220538605528651E-3</v>
      </c>
      <c r="O10">
        <v>2016</v>
      </c>
      <c r="P10">
        <v>3.01</v>
      </c>
    </row>
    <row r="11" spans="1:22" x14ac:dyDescent="0.45">
      <c r="A11" s="23">
        <v>44381</v>
      </c>
      <c r="B11" s="22">
        <v>557.4</v>
      </c>
      <c r="D11">
        <f t="shared" si="0"/>
        <v>9.5997101974279186E-3</v>
      </c>
      <c r="F11" s="23">
        <v>44381</v>
      </c>
      <c r="G11" s="22">
        <v>14819.05</v>
      </c>
      <c r="H11">
        <f t="shared" si="1"/>
        <v>9.2314502673067917E-3</v>
      </c>
      <c r="O11">
        <v>2015</v>
      </c>
      <c r="P11">
        <v>-4.0599999999999996</v>
      </c>
    </row>
    <row r="12" spans="1:22" x14ac:dyDescent="0.45">
      <c r="A12" s="23">
        <v>44412</v>
      </c>
      <c r="B12" s="22">
        <v>552.65</v>
      </c>
      <c r="D12">
        <f t="shared" si="0"/>
        <v>-8.5217079296734839E-3</v>
      </c>
      <c r="F12" s="23">
        <v>44412</v>
      </c>
      <c r="G12" s="22">
        <v>14873.8</v>
      </c>
      <c r="H12">
        <f t="shared" si="1"/>
        <v>3.6945688151399721E-3</v>
      </c>
      <c r="O12">
        <v>2014</v>
      </c>
      <c r="P12">
        <v>31.39</v>
      </c>
    </row>
    <row r="13" spans="1:22" x14ac:dyDescent="0.45">
      <c r="A13" s="23">
        <v>44443</v>
      </c>
      <c r="B13" s="22">
        <v>555.25</v>
      </c>
      <c r="D13">
        <f t="shared" si="0"/>
        <v>4.7046050845924595E-3</v>
      </c>
      <c r="F13" s="23">
        <v>44443</v>
      </c>
      <c r="G13" s="22">
        <v>14834.85</v>
      </c>
      <c r="H13">
        <f t="shared" si="1"/>
        <v>-2.618698651319697E-3</v>
      </c>
      <c r="O13">
        <v>2013</v>
      </c>
      <c r="P13">
        <v>6.76</v>
      </c>
    </row>
    <row r="14" spans="1:22" x14ac:dyDescent="0.45">
      <c r="A14" s="23">
        <v>44534</v>
      </c>
      <c r="B14" s="22">
        <v>553.65</v>
      </c>
      <c r="D14">
        <f t="shared" si="0"/>
        <v>-2.8815848716794647E-3</v>
      </c>
      <c r="F14" s="23">
        <v>44534</v>
      </c>
      <c r="G14" s="22">
        <v>14310.8</v>
      </c>
      <c r="H14">
        <f t="shared" si="1"/>
        <v>-3.5325601539617932E-2</v>
      </c>
      <c r="O14">
        <v>2012</v>
      </c>
      <c r="P14">
        <v>27.7</v>
      </c>
    </row>
    <row r="15" spans="1:22" x14ac:dyDescent="0.45">
      <c r="A15" s="21" t="s">
        <v>253</v>
      </c>
      <c r="B15" s="22">
        <v>580.4</v>
      </c>
      <c r="D15">
        <f t="shared" si="0"/>
        <v>4.8315722929648697E-2</v>
      </c>
      <c r="F15" s="21" t="s">
        <v>253</v>
      </c>
      <c r="G15" s="22">
        <v>14504.8</v>
      </c>
      <c r="H15">
        <f t="shared" si="1"/>
        <v>1.3556195321016297E-2</v>
      </c>
      <c r="O15">
        <v>2011</v>
      </c>
      <c r="P15">
        <v>-24.62</v>
      </c>
    </row>
    <row r="16" spans="1:22" x14ac:dyDescent="0.45">
      <c r="A16" s="21" t="s">
        <v>254</v>
      </c>
      <c r="B16" s="22">
        <v>594.70000000000005</v>
      </c>
      <c r="D16">
        <f t="shared" si="0"/>
        <v>2.4638180565127617E-2</v>
      </c>
      <c r="F16" s="21" t="s">
        <v>254</v>
      </c>
      <c r="G16" s="22">
        <v>14581.45</v>
      </c>
      <c r="H16">
        <f t="shared" si="1"/>
        <v>5.2844575588771618E-3</v>
      </c>
      <c r="O16">
        <v>2010</v>
      </c>
      <c r="P16">
        <v>17.95</v>
      </c>
    </row>
    <row r="17" spans="1:18" x14ac:dyDescent="0.45">
      <c r="A17" s="21" t="s">
        <v>255</v>
      </c>
      <c r="B17" s="22">
        <v>579.95000000000005</v>
      </c>
      <c r="D17">
        <f t="shared" si="0"/>
        <v>-2.4802421388935597E-2</v>
      </c>
      <c r="F17" s="21" t="s">
        <v>255</v>
      </c>
      <c r="G17" s="22">
        <v>14617.85</v>
      </c>
      <c r="H17">
        <f t="shared" si="1"/>
        <v>2.4963223822047627E-3</v>
      </c>
      <c r="O17">
        <v>2009</v>
      </c>
      <c r="P17">
        <v>75.760000000000005</v>
      </c>
    </row>
    <row r="18" spans="1:18" x14ac:dyDescent="0.45">
      <c r="A18" s="21" t="s">
        <v>256</v>
      </c>
      <c r="B18" s="22">
        <v>552.04999999999995</v>
      </c>
      <c r="D18">
        <f t="shared" si="0"/>
        <v>-4.8107595482369321E-2</v>
      </c>
      <c r="F18" s="21" t="s">
        <v>256</v>
      </c>
      <c r="G18" s="22">
        <v>14359.45</v>
      </c>
      <c r="H18">
        <f t="shared" si="1"/>
        <v>-1.7677018166146159E-2</v>
      </c>
      <c r="O18">
        <v>2008</v>
      </c>
      <c r="P18">
        <v>-51.79</v>
      </c>
    </row>
    <row r="19" spans="1:18" x14ac:dyDescent="0.45">
      <c r="A19" s="21" t="s">
        <v>257</v>
      </c>
      <c r="B19" s="22">
        <v>556.54999999999995</v>
      </c>
      <c r="D19">
        <f t="shared" si="0"/>
        <v>8.1514355583733357E-3</v>
      </c>
      <c r="F19" s="21" t="s">
        <v>257</v>
      </c>
      <c r="G19" s="22">
        <v>14296.4</v>
      </c>
      <c r="H19">
        <f t="shared" si="1"/>
        <v>-4.3908366963916505E-3</v>
      </c>
      <c r="O19">
        <v>2007</v>
      </c>
      <c r="P19">
        <v>54.77</v>
      </c>
    </row>
    <row r="20" spans="1:18" x14ac:dyDescent="0.45">
      <c r="A20" s="21" t="s">
        <v>258</v>
      </c>
      <c r="B20" s="22">
        <v>554.4</v>
      </c>
      <c r="D20">
        <f t="shared" si="0"/>
        <v>-3.8630850777108569E-3</v>
      </c>
      <c r="F20" s="21" t="s">
        <v>258</v>
      </c>
      <c r="G20" s="22">
        <v>14406.15</v>
      </c>
      <c r="H20">
        <f t="shared" si="1"/>
        <v>7.6767577851766878E-3</v>
      </c>
      <c r="O20">
        <v>2006</v>
      </c>
      <c r="P20">
        <v>39.83</v>
      </c>
    </row>
    <row r="21" spans="1:18" x14ac:dyDescent="0.45">
      <c r="A21" s="21" t="s">
        <v>259</v>
      </c>
      <c r="B21" s="22">
        <v>590</v>
      </c>
      <c r="D21">
        <f t="shared" si="0"/>
        <v>6.421356421356425E-2</v>
      </c>
      <c r="F21" s="21" t="s">
        <v>259</v>
      </c>
      <c r="G21" s="22">
        <v>14341.35</v>
      </c>
      <c r="H21">
        <f t="shared" si="1"/>
        <v>-4.49807894545033E-3</v>
      </c>
      <c r="O21">
        <v>2005</v>
      </c>
      <c r="P21">
        <v>36.340000000000003</v>
      </c>
    </row>
    <row r="22" spans="1:18" x14ac:dyDescent="0.45">
      <c r="A22" s="21" t="s">
        <v>260</v>
      </c>
      <c r="B22" s="22">
        <v>602.54999999999995</v>
      </c>
      <c r="D22">
        <f t="shared" si="0"/>
        <v>2.1271186440677887E-2</v>
      </c>
      <c r="F22" s="21" t="s">
        <v>260</v>
      </c>
      <c r="G22" s="22">
        <v>14485</v>
      </c>
      <c r="H22">
        <f t="shared" si="1"/>
        <v>1.0016490776670233E-2</v>
      </c>
      <c r="O22">
        <v>2004</v>
      </c>
      <c r="P22">
        <v>10.68</v>
      </c>
    </row>
    <row r="23" spans="1:18" x14ac:dyDescent="0.45">
      <c r="A23" s="21" t="s">
        <v>261</v>
      </c>
      <c r="B23" s="22">
        <v>629.6</v>
      </c>
      <c r="D23">
        <f t="shared" si="0"/>
        <v>4.4892540038171225E-2</v>
      </c>
      <c r="F23" s="21" t="s">
        <v>261</v>
      </c>
      <c r="G23" s="22">
        <v>14653.05</v>
      </c>
      <c r="H23">
        <f t="shared" si="1"/>
        <v>1.1601656886434192E-2</v>
      </c>
      <c r="O23">
        <v>2003</v>
      </c>
      <c r="P23">
        <v>71.900000000000006</v>
      </c>
    </row>
    <row r="24" spans="1:18" x14ac:dyDescent="0.45">
      <c r="A24" s="21" t="s">
        <v>262</v>
      </c>
      <c r="B24" s="22">
        <v>640</v>
      </c>
      <c r="D24">
        <f t="shared" si="0"/>
        <v>1.651842439644215E-2</v>
      </c>
      <c r="F24" s="21" t="s">
        <v>262</v>
      </c>
      <c r="G24" s="22">
        <v>14864.55</v>
      </c>
      <c r="H24">
        <f t="shared" si="1"/>
        <v>1.4433855067716278E-2</v>
      </c>
      <c r="O24">
        <v>2002</v>
      </c>
      <c r="P24">
        <v>3.25</v>
      </c>
    </row>
    <row r="25" spans="1:18" x14ac:dyDescent="0.45">
      <c r="A25" s="21" t="s">
        <v>263</v>
      </c>
      <c r="B25" s="22">
        <v>632.20000000000005</v>
      </c>
      <c r="D25">
        <f t="shared" si="0"/>
        <v>-1.2187499999999929E-2</v>
      </c>
      <c r="F25" s="21" t="s">
        <v>263</v>
      </c>
      <c r="G25" s="22">
        <v>14894.9</v>
      </c>
      <c r="H25">
        <f t="shared" si="1"/>
        <v>2.0417705211392451E-3</v>
      </c>
      <c r="O25">
        <v>2001</v>
      </c>
      <c r="P25">
        <v>-16.18</v>
      </c>
    </row>
    <row r="26" spans="1:18" x14ac:dyDescent="0.45">
      <c r="A26" s="21" t="s">
        <v>264</v>
      </c>
      <c r="B26" s="22">
        <v>624.25</v>
      </c>
      <c r="D26">
        <f t="shared" si="0"/>
        <v>-1.2575134451123134E-2</v>
      </c>
      <c r="F26" s="21" t="s">
        <v>264</v>
      </c>
      <c r="G26" s="22">
        <v>14631.1</v>
      </c>
      <c r="H26">
        <f t="shared" si="1"/>
        <v>-1.7710760058812027E-2</v>
      </c>
      <c r="O26">
        <v>2000</v>
      </c>
      <c r="P26">
        <v>-14.65</v>
      </c>
    </row>
    <row r="27" spans="1:18" x14ac:dyDescent="0.45">
      <c r="A27" s="23">
        <v>44260</v>
      </c>
      <c r="B27" s="22">
        <v>629.54999999999995</v>
      </c>
      <c r="D27">
        <f t="shared" si="0"/>
        <v>8.4901882258709722E-3</v>
      </c>
      <c r="F27" s="23">
        <v>44260</v>
      </c>
      <c r="G27" s="22">
        <v>14634.15</v>
      </c>
      <c r="H27">
        <f t="shared" si="1"/>
        <v>2.0846006110266982E-4</v>
      </c>
      <c r="O27" t="s">
        <v>119</v>
      </c>
    </row>
    <row r="28" spans="1:18" x14ac:dyDescent="0.45">
      <c r="A28" s="23">
        <v>44291</v>
      </c>
      <c r="B28" s="22">
        <v>636.54999999999995</v>
      </c>
      <c r="D28">
        <f t="shared" si="0"/>
        <v>1.1119053292033993E-2</v>
      </c>
      <c r="F28" s="23">
        <v>44291</v>
      </c>
      <c r="G28" s="22">
        <v>14496.5</v>
      </c>
      <c r="H28">
        <f t="shared" si="1"/>
        <v>-9.4060809818130638E-3</v>
      </c>
      <c r="O28" s="34" t="s">
        <v>121</v>
      </c>
      <c r="P28" s="34"/>
      <c r="Q28" s="34"/>
      <c r="R28" s="34"/>
    </row>
    <row r="29" spans="1:18" x14ac:dyDescent="0.45">
      <c r="A29" s="23">
        <v>44321</v>
      </c>
      <c r="B29" s="22">
        <v>682.85</v>
      </c>
      <c r="D29">
        <f t="shared" si="0"/>
        <v>7.2735841646375102E-2</v>
      </c>
      <c r="F29" s="23">
        <v>44321</v>
      </c>
      <c r="G29" s="22">
        <v>14617.85</v>
      </c>
      <c r="H29">
        <f t="shared" si="1"/>
        <v>8.3709861000931512E-3</v>
      </c>
    </row>
    <row r="30" spans="1:18" x14ac:dyDescent="0.45">
      <c r="A30" s="23">
        <v>44352</v>
      </c>
      <c r="B30" s="22">
        <v>703.9</v>
      </c>
      <c r="D30">
        <f t="shared" si="0"/>
        <v>3.0826682287471558E-2</v>
      </c>
      <c r="F30" s="23">
        <v>44352</v>
      </c>
      <c r="G30" s="22">
        <v>14724.8</v>
      </c>
      <c r="H30">
        <f t="shared" si="1"/>
        <v>7.3163974182249032E-3</v>
      </c>
    </row>
    <row r="31" spans="1:18" x14ac:dyDescent="0.45">
      <c r="A31" s="23">
        <v>44382</v>
      </c>
      <c r="B31" s="22">
        <v>721.1</v>
      </c>
      <c r="D31">
        <f t="shared" si="0"/>
        <v>2.4435289103565912E-2</v>
      </c>
      <c r="F31" s="23">
        <v>44382</v>
      </c>
      <c r="G31" s="22">
        <v>14823.15</v>
      </c>
      <c r="H31">
        <f t="shared" si="1"/>
        <v>6.6792078669999167E-3</v>
      </c>
    </row>
    <row r="32" spans="1:18" x14ac:dyDescent="0.45">
      <c r="A32" s="23">
        <v>44474</v>
      </c>
      <c r="B32" s="22">
        <v>736.15</v>
      </c>
      <c r="D32">
        <f t="shared" si="0"/>
        <v>2.0870891693246366E-2</v>
      </c>
      <c r="F32" s="23">
        <v>44474</v>
      </c>
      <c r="G32" s="22">
        <v>14942.35</v>
      </c>
      <c r="H32">
        <f t="shared" si="1"/>
        <v>8.0414756647541677E-3</v>
      </c>
    </row>
    <row r="33" spans="1:8" x14ac:dyDescent="0.45">
      <c r="A33" s="23">
        <v>44505</v>
      </c>
      <c r="B33" s="22">
        <v>729.9</v>
      </c>
      <c r="D33">
        <f t="shared" si="0"/>
        <v>-8.4901175032262455E-3</v>
      </c>
      <c r="F33" s="23">
        <v>44505</v>
      </c>
      <c r="G33" s="22">
        <v>14850.75</v>
      </c>
      <c r="H33">
        <f t="shared" si="1"/>
        <v>-6.1302271731019792E-3</v>
      </c>
    </row>
    <row r="34" spans="1:8" x14ac:dyDescent="0.45">
      <c r="A34" s="23">
        <v>44535</v>
      </c>
      <c r="B34" s="22">
        <v>728.5</v>
      </c>
      <c r="D34">
        <f t="shared" si="0"/>
        <v>-1.9180709686258081E-3</v>
      </c>
      <c r="F34" s="23">
        <v>44535</v>
      </c>
      <c r="G34" s="22">
        <v>14696.5</v>
      </c>
      <c r="H34">
        <f t="shared" si="1"/>
        <v>-1.0386680807366631E-2</v>
      </c>
    </row>
    <row r="35" spans="1:8" x14ac:dyDescent="0.45">
      <c r="A35" s="21" t="s">
        <v>265</v>
      </c>
      <c r="B35" s="22">
        <v>734.45</v>
      </c>
      <c r="D35">
        <f t="shared" si="0"/>
        <v>8.1674673987646475E-3</v>
      </c>
      <c r="F35" s="21" t="s">
        <v>265</v>
      </c>
      <c r="G35" s="22">
        <v>14677.8</v>
      </c>
      <c r="H35">
        <f t="shared" si="1"/>
        <v>-1.2724117987276376E-3</v>
      </c>
    </row>
    <row r="36" spans="1:8" x14ac:dyDescent="0.45">
      <c r="A36" s="21" t="s">
        <v>266</v>
      </c>
      <c r="B36" s="22">
        <v>755.85</v>
      </c>
      <c r="D36">
        <f t="shared" si="0"/>
        <v>2.9137449792361599E-2</v>
      </c>
      <c r="F36" s="21" t="s">
        <v>266</v>
      </c>
      <c r="G36" s="22">
        <v>14923.15</v>
      </c>
      <c r="H36">
        <f t="shared" si="1"/>
        <v>1.6715720339560449E-2</v>
      </c>
    </row>
    <row r="37" spans="1:8" x14ac:dyDescent="0.45">
      <c r="A37" s="21" t="s">
        <v>267</v>
      </c>
      <c r="B37" s="22">
        <v>767.75</v>
      </c>
      <c r="D37">
        <f t="shared" si="0"/>
        <v>1.5743864523384239E-2</v>
      </c>
      <c r="F37" s="21" t="s">
        <v>267</v>
      </c>
      <c r="G37" s="22">
        <v>15108.1</v>
      </c>
      <c r="H37">
        <f t="shared" si="1"/>
        <v>1.2393496011230921E-2</v>
      </c>
    </row>
    <row r="38" spans="1:8" x14ac:dyDescent="0.45">
      <c r="A38" s="21" t="s">
        <v>268</v>
      </c>
      <c r="B38" s="22">
        <v>771.5</v>
      </c>
      <c r="D38">
        <f t="shared" si="0"/>
        <v>4.8844024747639204E-3</v>
      </c>
      <c r="F38" s="21" t="s">
        <v>268</v>
      </c>
      <c r="G38" s="22">
        <v>15030.15</v>
      </c>
      <c r="H38">
        <f t="shared" si="1"/>
        <v>-5.159483985411847E-3</v>
      </c>
    </row>
    <row r="39" spans="1:8" x14ac:dyDescent="0.45">
      <c r="A39" s="21" t="s">
        <v>269</v>
      </c>
      <c r="B39" s="22">
        <v>771.55</v>
      </c>
      <c r="D39">
        <f t="shared" si="0"/>
        <v>6.4808813998644876E-5</v>
      </c>
      <c r="F39" s="21" t="s">
        <v>269</v>
      </c>
      <c r="G39" s="22">
        <v>14906.05</v>
      </c>
      <c r="H39">
        <f t="shared" si="1"/>
        <v>-8.2567372913776894E-3</v>
      </c>
    </row>
    <row r="40" spans="1:8" x14ac:dyDescent="0.45">
      <c r="A40" s="21" t="s">
        <v>270</v>
      </c>
      <c r="B40" s="22">
        <v>769.4</v>
      </c>
      <c r="D40">
        <f t="shared" si="0"/>
        <v>-2.7865984058064643E-3</v>
      </c>
      <c r="F40" s="21" t="s">
        <v>270</v>
      </c>
      <c r="G40" s="22">
        <v>15175.3</v>
      </c>
      <c r="H40">
        <f t="shared" si="1"/>
        <v>1.8063135438295189E-2</v>
      </c>
    </row>
    <row r="41" spans="1:8" x14ac:dyDescent="0.45">
      <c r="A41" s="21" t="s">
        <v>271</v>
      </c>
      <c r="B41" s="22">
        <v>768.3</v>
      </c>
      <c r="D41">
        <f t="shared" si="0"/>
        <v>-1.4296854691968064E-3</v>
      </c>
      <c r="F41" s="21" t="s">
        <v>271</v>
      </c>
      <c r="G41" s="22">
        <v>15197.7</v>
      </c>
      <c r="H41">
        <f t="shared" si="1"/>
        <v>1.4760828451497799E-3</v>
      </c>
    </row>
    <row r="42" spans="1:8" x14ac:dyDescent="0.45">
      <c r="A42" s="21" t="s">
        <v>272</v>
      </c>
      <c r="B42" s="22">
        <v>762.05</v>
      </c>
      <c r="D42">
        <f t="shared" si="0"/>
        <v>-8.1348431602238716E-3</v>
      </c>
      <c r="F42" s="21" t="s">
        <v>272</v>
      </c>
      <c r="G42" s="22">
        <v>15208.45</v>
      </c>
      <c r="H42">
        <f t="shared" si="1"/>
        <v>7.0734387440204766E-4</v>
      </c>
    </row>
    <row r="43" spans="1:8" x14ac:dyDescent="0.45">
      <c r="A43" s="21" t="s">
        <v>273</v>
      </c>
      <c r="B43" s="22">
        <v>772.4</v>
      </c>
      <c r="D43">
        <f t="shared" si="0"/>
        <v>1.3581785972049109E-2</v>
      </c>
      <c r="F43" s="21" t="s">
        <v>273</v>
      </c>
      <c r="G43" s="22">
        <v>15301.45</v>
      </c>
      <c r="H43">
        <f t="shared" si="1"/>
        <v>6.1150215833960719E-3</v>
      </c>
    </row>
    <row r="44" spans="1:8" x14ac:dyDescent="0.45">
      <c r="A44" s="21" t="s">
        <v>274</v>
      </c>
      <c r="B44" s="22">
        <v>767.35</v>
      </c>
      <c r="D44">
        <f t="shared" si="0"/>
        <v>-6.5380631796995792E-3</v>
      </c>
      <c r="F44" s="21" t="s">
        <v>274</v>
      </c>
      <c r="G44" s="22">
        <v>15337.85</v>
      </c>
      <c r="H44">
        <f t="shared" si="1"/>
        <v>2.3788595198494023E-3</v>
      </c>
    </row>
    <row r="45" spans="1:8" x14ac:dyDescent="0.45">
      <c r="A45" s="21" t="s">
        <v>275</v>
      </c>
      <c r="B45" s="22">
        <v>761.5</v>
      </c>
      <c r="D45">
        <f t="shared" si="0"/>
        <v>-7.6236397993093407E-3</v>
      </c>
      <c r="F45" s="21" t="s">
        <v>275</v>
      </c>
      <c r="G45" s="22">
        <v>15435.65</v>
      </c>
      <c r="H45">
        <f t="shared" si="1"/>
        <v>6.3763826090357687E-3</v>
      </c>
    </row>
    <row r="46" spans="1:8" x14ac:dyDescent="0.45">
      <c r="A46" s="21" t="s">
        <v>276</v>
      </c>
      <c r="B46" s="22">
        <v>754.25</v>
      </c>
      <c r="D46">
        <f t="shared" si="0"/>
        <v>-9.5206828627708469E-3</v>
      </c>
      <c r="F46" s="21" t="s">
        <v>276</v>
      </c>
      <c r="G46" s="22">
        <v>15582.8</v>
      </c>
      <c r="H46">
        <f t="shared" si="1"/>
        <v>9.5331262369903209E-3</v>
      </c>
    </row>
    <row r="47" spans="1:8" x14ac:dyDescent="0.45">
      <c r="A47" s="23">
        <v>44202</v>
      </c>
      <c r="B47" s="22">
        <v>726.9</v>
      </c>
      <c r="D47">
        <f t="shared" si="0"/>
        <v>-3.6261186609214478E-2</v>
      </c>
      <c r="F47" s="23">
        <v>44202</v>
      </c>
      <c r="G47" s="22">
        <v>15574.85</v>
      </c>
      <c r="H47">
        <f t="shared" si="1"/>
        <v>-5.1017788844103169E-4</v>
      </c>
    </row>
    <row r="48" spans="1:8" x14ac:dyDescent="0.45">
      <c r="A48" s="23">
        <v>44233</v>
      </c>
      <c r="B48" s="22">
        <v>733.75</v>
      </c>
      <c r="D48">
        <f t="shared" si="0"/>
        <v>9.4235795845371076E-3</v>
      </c>
      <c r="F48" s="23">
        <v>44233</v>
      </c>
      <c r="G48" s="22">
        <v>15576.2</v>
      </c>
      <c r="H48">
        <f t="shared" si="1"/>
        <v>8.667820235831252E-5</v>
      </c>
    </row>
    <row r="49" spans="1:8" x14ac:dyDescent="0.45">
      <c r="A49" s="23">
        <v>44261</v>
      </c>
      <c r="B49" s="22">
        <v>774.95</v>
      </c>
      <c r="D49">
        <f t="shared" si="0"/>
        <v>5.6149914821124421E-2</v>
      </c>
      <c r="F49" s="23">
        <v>44261</v>
      </c>
      <c r="G49" s="22">
        <v>15690.35</v>
      </c>
      <c r="H49">
        <f t="shared" si="1"/>
        <v>7.3284883347671213E-3</v>
      </c>
    </row>
    <row r="50" spans="1:8" x14ac:dyDescent="0.45">
      <c r="A50" s="23">
        <v>44292</v>
      </c>
      <c r="B50" s="22">
        <v>769.25</v>
      </c>
      <c r="D50">
        <f t="shared" si="0"/>
        <v>-7.3553132460159303E-3</v>
      </c>
      <c r="F50" s="23">
        <v>44292</v>
      </c>
      <c r="G50" s="22">
        <v>15670.25</v>
      </c>
      <c r="H50">
        <f t="shared" si="1"/>
        <v>-1.2810421692314297E-3</v>
      </c>
    </row>
    <row r="51" spans="1:8" x14ac:dyDescent="0.45">
      <c r="A51" s="23">
        <v>44383</v>
      </c>
      <c r="B51" s="22">
        <v>772.9</v>
      </c>
      <c r="D51">
        <f t="shared" si="0"/>
        <v>4.7448813779655211E-3</v>
      </c>
      <c r="F51" s="23">
        <v>44383</v>
      </c>
      <c r="G51" s="22">
        <v>15751.65</v>
      </c>
      <c r="H51">
        <f t="shared" si="1"/>
        <v>5.1945565641900822E-3</v>
      </c>
    </row>
    <row r="52" spans="1:8" x14ac:dyDescent="0.45">
      <c r="A52" s="23">
        <v>44414</v>
      </c>
      <c r="B52" s="22">
        <v>760.9</v>
      </c>
      <c r="D52">
        <f t="shared" si="0"/>
        <v>-1.55259412601889E-2</v>
      </c>
      <c r="F52" s="23">
        <v>44414</v>
      </c>
      <c r="G52" s="22">
        <v>15740.1</v>
      </c>
      <c r="H52">
        <f t="shared" si="1"/>
        <v>-7.3325651598399354E-4</v>
      </c>
    </row>
    <row r="53" spans="1:8" x14ac:dyDescent="0.45">
      <c r="A53" s="23">
        <v>44445</v>
      </c>
      <c r="B53" s="22">
        <v>749.65</v>
      </c>
      <c r="D53">
        <f t="shared" si="0"/>
        <v>-1.4785122880799055E-2</v>
      </c>
      <c r="F53" s="23">
        <v>44445</v>
      </c>
      <c r="G53" s="22">
        <v>15635.35</v>
      </c>
      <c r="H53">
        <f t="shared" si="1"/>
        <v>-6.6549767790547712E-3</v>
      </c>
    </row>
    <row r="54" spans="1:8" x14ac:dyDescent="0.45">
      <c r="A54" s="23">
        <v>44475</v>
      </c>
      <c r="B54" s="22">
        <v>768.7</v>
      </c>
      <c r="D54">
        <f t="shared" si="0"/>
        <v>2.541185886747158E-2</v>
      </c>
      <c r="F54" s="23">
        <v>44475</v>
      </c>
      <c r="G54" s="22">
        <v>15737.75</v>
      </c>
      <c r="H54">
        <f t="shared" si="1"/>
        <v>6.5492617690041883E-3</v>
      </c>
    </row>
    <row r="55" spans="1:8" x14ac:dyDescent="0.45">
      <c r="A55" s="23">
        <v>44506</v>
      </c>
      <c r="B55" s="22">
        <v>777.65</v>
      </c>
      <c r="D55">
        <f t="shared" si="0"/>
        <v>1.1643033693248253E-2</v>
      </c>
      <c r="F55" s="23">
        <v>44506</v>
      </c>
      <c r="G55" s="22">
        <v>15799.35</v>
      </c>
      <c r="H55">
        <f t="shared" si="1"/>
        <v>3.9141554542422114E-3</v>
      </c>
    </row>
    <row r="56" spans="1:8" x14ac:dyDescent="0.45">
      <c r="A56" s="21" t="s">
        <v>277</v>
      </c>
      <c r="B56" s="22">
        <v>757.3</v>
      </c>
      <c r="D56">
        <f t="shared" si="0"/>
        <v>-2.6168584838937855E-2</v>
      </c>
      <c r="F56" s="21" t="s">
        <v>277</v>
      </c>
      <c r="G56" s="22">
        <v>15811.85</v>
      </c>
      <c r="H56">
        <f t="shared" si="1"/>
        <v>7.9117178871282673E-4</v>
      </c>
    </row>
    <row r="57" spans="1:8" x14ac:dyDescent="0.45">
      <c r="A57" s="21" t="s">
        <v>278</v>
      </c>
      <c r="B57" s="22">
        <v>761.35</v>
      </c>
      <c r="D57">
        <f t="shared" si="0"/>
        <v>5.3479466525816304E-3</v>
      </c>
      <c r="F57" s="21" t="s">
        <v>278</v>
      </c>
      <c r="G57" s="22">
        <v>15869.25</v>
      </c>
      <c r="H57">
        <f t="shared" si="1"/>
        <v>3.630188750841909E-3</v>
      </c>
    </row>
    <row r="58" spans="1:8" x14ac:dyDescent="0.45">
      <c r="A58" s="21" t="s">
        <v>279</v>
      </c>
      <c r="B58" s="22">
        <v>753</v>
      </c>
      <c r="D58">
        <f t="shared" si="0"/>
        <v>-1.0967360609443781E-2</v>
      </c>
      <c r="F58" s="21" t="s">
        <v>279</v>
      </c>
      <c r="G58" s="22">
        <v>15767.55</v>
      </c>
      <c r="H58">
        <f t="shared" si="1"/>
        <v>-6.40862044520067E-3</v>
      </c>
    </row>
    <row r="59" spans="1:8" x14ac:dyDescent="0.45">
      <c r="A59" s="21" t="s">
        <v>280</v>
      </c>
      <c r="B59" s="22">
        <v>741.1</v>
      </c>
      <c r="D59">
        <f t="shared" si="0"/>
        <v>-1.5803452855245655E-2</v>
      </c>
      <c r="F59" s="21" t="s">
        <v>280</v>
      </c>
      <c r="G59" s="22">
        <v>15691.4</v>
      </c>
      <c r="H59">
        <f t="shared" si="1"/>
        <v>-4.8295391484409209E-3</v>
      </c>
    </row>
    <row r="60" spans="1:8" x14ac:dyDescent="0.45">
      <c r="A60" s="21" t="s">
        <v>281</v>
      </c>
      <c r="B60" s="22">
        <v>733.2</v>
      </c>
      <c r="D60">
        <f t="shared" si="0"/>
        <v>-1.0659829982458477E-2</v>
      </c>
      <c r="F60" s="21" t="s">
        <v>281</v>
      </c>
      <c r="G60" s="22">
        <v>15683.35</v>
      </c>
      <c r="H60">
        <f t="shared" si="1"/>
        <v>-5.1301987075718367E-4</v>
      </c>
    </row>
    <row r="61" spans="1:8" x14ac:dyDescent="0.45">
      <c r="A61" s="21" t="s">
        <v>282</v>
      </c>
      <c r="B61" s="22">
        <v>724.2</v>
      </c>
      <c r="D61">
        <f t="shared" si="0"/>
        <v>-1.2274959083469721E-2</v>
      </c>
      <c r="F61" s="21" t="s">
        <v>282</v>
      </c>
      <c r="G61" s="22">
        <v>15746.5</v>
      </c>
      <c r="H61">
        <f t="shared" si="1"/>
        <v>4.02656320237702E-3</v>
      </c>
    </row>
    <row r="62" spans="1:8" x14ac:dyDescent="0.45">
      <c r="A62" s="21" t="s">
        <v>283</v>
      </c>
      <c r="B62" s="22">
        <v>732.95</v>
      </c>
      <c r="D62">
        <f t="shared" si="0"/>
        <v>1.208229770781552E-2</v>
      </c>
      <c r="F62" s="21" t="s">
        <v>283</v>
      </c>
      <c r="G62" s="22">
        <v>15772.75</v>
      </c>
      <c r="H62">
        <f t="shared" si="1"/>
        <v>1.6670371193598578E-3</v>
      </c>
    </row>
    <row r="63" spans="1:8" x14ac:dyDescent="0.45">
      <c r="A63" s="21" t="s">
        <v>284</v>
      </c>
      <c r="B63" s="22">
        <v>743.95</v>
      </c>
      <c r="D63">
        <f t="shared" si="0"/>
        <v>1.5007845009891533E-2</v>
      </c>
      <c r="F63" s="21" t="s">
        <v>284</v>
      </c>
      <c r="G63" s="22">
        <v>15686.95</v>
      </c>
      <c r="H63">
        <f t="shared" si="1"/>
        <v>-5.4397616141763023E-3</v>
      </c>
    </row>
    <row r="64" spans="1:8" x14ac:dyDescent="0.45">
      <c r="A64" s="21" t="s">
        <v>285</v>
      </c>
      <c r="B64" s="22">
        <v>744.35</v>
      </c>
      <c r="D64">
        <f t="shared" si="0"/>
        <v>5.3767054237512904E-4</v>
      </c>
      <c r="F64" s="21" t="s">
        <v>285</v>
      </c>
      <c r="G64" s="22">
        <v>15790.45</v>
      </c>
      <c r="H64">
        <f t="shared" si="1"/>
        <v>6.5978408804770843E-3</v>
      </c>
    </row>
    <row r="65" spans="1:8" x14ac:dyDescent="0.45">
      <c r="A65" s="21" t="s">
        <v>286</v>
      </c>
      <c r="B65" s="22">
        <v>745.25</v>
      </c>
      <c r="D65">
        <f t="shared" si="0"/>
        <v>1.2091086182575096E-3</v>
      </c>
      <c r="F65" s="21" t="s">
        <v>286</v>
      </c>
      <c r="G65" s="22">
        <v>15860.35</v>
      </c>
      <c r="H65">
        <f t="shared" si="1"/>
        <v>4.4267262807582836E-3</v>
      </c>
    </row>
    <row r="66" spans="1:8" x14ac:dyDescent="0.45">
      <c r="A66" s="21" t="s">
        <v>287</v>
      </c>
      <c r="B66" s="22">
        <v>744</v>
      </c>
      <c r="D66">
        <f t="shared" si="0"/>
        <v>-1.6772895001677288E-3</v>
      </c>
      <c r="F66" s="21" t="s">
        <v>287</v>
      </c>
      <c r="G66" s="22">
        <v>15814.7</v>
      </c>
      <c r="H66">
        <f t="shared" si="1"/>
        <v>-2.8782466969518097E-3</v>
      </c>
    </row>
    <row r="67" spans="1:8" x14ac:dyDescent="0.45">
      <c r="A67" s="21" t="s">
        <v>288</v>
      </c>
      <c r="B67" s="22">
        <v>754.65</v>
      </c>
      <c r="D67">
        <f t="shared" si="0"/>
        <v>1.4314516129032227E-2</v>
      </c>
      <c r="F67" s="21" t="s">
        <v>288</v>
      </c>
      <c r="G67" s="22">
        <v>15748.45</v>
      </c>
      <c r="H67">
        <f t="shared" si="1"/>
        <v>-4.1891404832213068E-3</v>
      </c>
    </row>
    <row r="68" spans="1:8" x14ac:dyDescent="0.45">
      <c r="A68" s="21" t="s">
        <v>289</v>
      </c>
      <c r="B68" s="22">
        <v>760</v>
      </c>
      <c r="D68">
        <f t="shared" ref="D68:D131" si="2">(B68-B67)/B67</f>
        <v>7.0893791824024688E-3</v>
      </c>
      <c r="F68" s="21" t="s">
        <v>289</v>
      </c>
      <c r="G68" s="22">
        <v>15721.5</v>
      </c>
      <c r="H68">
        <f t="shared" si="1"/>
        <v>-1.7112795227467292E-3</v>
      </c>
    </row>
    <row r="69" spans="1:8" x14ac:dyDescent="0.45">
      <c r="A69" s="23">
        <v>44203</v>
      </c>
      <c r="B69" s="22">
        <v>754.7</v>
      </c>
      <c r="D69">
        <f t="shared" si="2"/>
        <v>-6.9736842105262561E-3</v>
      </c>
      <c r="F69" s="23">
        <v>44203</v>
      </c>
      <c r="G69" s="22">
        <v>15680</v>
      </c>
      <c r="H69">
        <f t="shared" ref="H69:H132" si="3">(G69-G68)/G68</f>
        <v>-2.6396972299080877E-3</v>
      </c>
    </row>
    <row r="70" spans="1:8" x14ac:dyDescent="0.45">
      <c r="A70" s="23">
        <v>44234</v>
      </c>
      <c r="B70" s="22">
        <v>757.95</v>
      </c>
      <c r="D70">
        <f t="shared" si="2"/>
        <v>4.3063468928050876E-3</v>
      </c>
      <c r="F70" s="23">
        <v>44234</v>
      </c>
      <c r="G70" s="22">
        <v>15722.2</v>
      </c>
      <c r="H70">
        <f t="shared" si="3"/>
        <v>2.6913265306122915E-3</v>
      </c>
    </row>
    <row r="71" spans="1:8" x14ac:dyDescent="0.45">
      <c r="A71" s="23">
        <v>44323</v>
      </c>
      <c r="B71" s="22">
        <v>764.7</v>
      </c>
      <c r="D71">
        <f t="shared" si="2"/>
        <v>8.905600633287155E-3</v>
      </c>
      <c r="F71" s="23">
        <v>44323</v>
      </c>
      <c r="G71" s="22">
        <v>15834.35</v>
      </c>
      <c r="H71">
        <f t="shared" si="3"/>
        <v>7.1332256300008666E-3</v>
      </c>
    </row>
    <row r="72" spans="1:8" x14ac:dyDescent="0.45">
      <c r="A72" s="23">
        <v>44354</v>
      </c>
      <c r="B72" s="22">
        <v>763.8</v>
      </c>
      <c r="D72">
        <f t="shared" si="2"/>
        <v>-1.1769321302472747E-3</v>
      </c>
      <c r="F72" s="23">
        <v>44354</v>
      </c>
      <c r="G72" s="22">
        <v>15818.25</v>
      </c>
      <c r="H72">
        <f t="shared" si="3"/>
        <v>-1.0167768174885843E-3</v>
      </c>
    </row>
    <row r="73" spans="1:8" x14ac:dyDescent="0.45">
      <c r="A73" s="23">
        <v>44384</v>
      </c>
      <c r="B73" s="22">
        <v>768.9</v>
      </c>
      <c r="D73">
        <f t="shared" si="2"/>
        <v>6.6771406127258751E-3</v>
      </c>
      <c r="F73" s="23">
        <v>44384</v>
      </c>
      <c r="G73" s="22">
        <v>15879.65</v>
      </c>
      <c r="H73">
        <f t="shared" si="3"/>
        <v>3.881592464400274E-3</v>
      </c>
    </row>
    <row r="74" spans="1:8" x14ac:dyDescent="0.45">
      <c r="A74" s="23">
        <v>44415</v>
      </c>
      <c r="B74" s="22">
        <v>783.1</v>
      </c>
      <c r="D74">
        <f t="shared" si="2"/>
        <v>1.8467941214722391E-2</v>
      </c>
      <c r="F74" s="23">
        <v>44415</v>
      </c>
      <c r="G74" s="22">
        <v>15727.9</v>
      </c>
      <c r="H74">
        <f t="shared" si="3"/>
        <v>-9.5562559628203387E-3</v>
      </c>
    </row>
    <row r="75" spans="1:8" x14ac:dyDescent="0.45">
      <c r="A75" s="23">
        <v>44446</v>
      </c>
      <c r="B75" s="22">
        <v>812.45</v>
      </c>
      <c r="D75">
        <f t="shared" si="2"/>
        <v>3.7479249138041147E-2</v>
      </c>
      <c r="F75" s="23">
        <v>44446</v>
      </c>
      <c r="G75" s="22">
        <v>15689.8</v>
      </c>
      <c r="H75">
        <f t="shared" si="3"/>
        <v>-2.4224467347834337E-3</v>
      </c>
    </row>
    <row r="76" spans="1:8" x14ac:dyDescent="0.45">
      <c r="A76" s="23">
        <v>44537</v>
      </c>
      <c r="B76" s="22">
        <v>829.6</v>
      </c>
      <c r="D76">
        <f t="shared" si="2"/>
        <v>2.1108991322542896E-2</v>
      </c>
      <c r="F76" s="23">
        <v>44537</v>
      </c>
      <c r="G76" s="22">
        <v>15692.6</v>
      </c>
      <c r="H76">
        <f t="shared" si="3"/>
        <v>1.7845989113953598E-4</v>
      </c>
    </row>
    <row r="77" spans="1:8" x14ac:dyDescent="0.45">
      <c r="A77" s="21" t="s">
        <v>290</v>
      </c>
      <c r="B77" s="22">
        <v>825.35</v>
      </c>
      <c r="D77">
        <f t="shared" si="2"/>
        <v>-5.1229508196721308E-3</v>
      </c>
      <c r="F77" s="21" t="s">
        <v>290</v>
      </c>
      <c r="G77" s="22">
        <v>15812.35</v>
      </c>
      <c r="H77">
        <f t="shared" si="3"/>
        <v>7.6309853051756875E-3</v>
      </c>
    </row>
    <row r="78" spans="1:8" x14ac:dyDescent="0.45">
      <c r="A78" s="21" t="s">
        <v>291</v>
      </c>
      <c r="B78" s="22">
        <v>816.95</v>
      </c>
      <c r="D78">
        <f t="shared" si="2"/>
        <v>-1.0177500454352671E-2</v>
      </c>
      <c r="F78" s="21" t="s">
        <v>291</v>
      </c>
      <c r="G78" s="22">
        <v>15853.95</v>
      </c>
      <c r="H78">
        <f t="shared" si="3"/>
        <v>2.6308549962529518E-3</v>
      </c>
    </row>
    <row r="79" spans="1:8" x14ac:dyDescent="0.45">
      <c r="A79" s="21" t="s">
        <v>292</v>
      </c>
      <c r="B79" s="22">
        <v>815.05</v>
      </c>
      <c r="D79">
        <f t="shared" si="2"/>
        <v>-2.3257237285024676E-3</v>
      </c>
      <c r="F79" s="21" t="s">
        <v>292</v>
      </c>
      <c r="G79" s="22">
        <v>15924.2</v>
      </c>
      <c r="H79">
        <f t="shared" si="3"/>
        <v>4.4310723825923505E-3</v>
      </c>
    </row>
    <row r="80" spans="1:8" x14ac:dyDescent="0.45">
      <c r="A80" s="21" t="s">
        <v>293</v>
      </c>
      <c r="B80" s="22">
        <v>814.35</v>
      </c>
      <c r="D80">
        <f t="shared" si="2"/>
        <v>-8.5884301576582027E-4</v>
      </c>
      <c r="F80" s="21" t="s">
        <v>293</v>
      </c>
      <c r="G80" s="22">
        <v>15923.4</v>
      </c>
      <c r="H80">
        <f t="shared" si="3"/>
        <v>-5.0238002537087662E-5</v>
      </c>
    </row>
    <row r="81" spans="1:8" x14ac:dyDescent="0.45">
      <c r="A81" s="21" t="s">
        <v>294</v>
      </c>
      <c r="B81" s="22">
        <v>799.45</v>
      </c>
      <c r="D81">
        <f t="shared" si="2"/>
        <v>-1.8296801129735342E-2</v>
      </c>
      <c r="F81" s="21" t="s">
        <v>294</v>
      </c>
      <c r="G81" s="22">
        <v>15752.4</v>
      </c>
      <c r="H81">
        <f t="shared" si="3"/>
        <v>-1.0738912543803459E-2</v>
      </c>
    </row>
    <row r="82" spans="1:8" x14ac:dyDescent="0.45">
      <c r="A82" s="21" t="s">
        <v>295</v>
      </c>
      <c r="B82" s="22">
        <v>781.2</v>
      </c>
      <c r="D82">
        <f t="shared" si="2"/>
        <v>-2.2828194383638749E-2</v>
      </c>
      <c r="F82" s="21" t="s">
        <v>295</v>
      </c>
      <c r="G82" s="22">
        <v>15632.1</v>
      </c>
      <c r="H82">
        <f t="shared" si="3"/>
        <v>-7.6369315151976385E-3</v>
      </c>
    </row>
    <row r="83" spans="1:8" x14ac:dyDescent="0.45">
      <c r="A83" s="21" t="s">
        <v>296</v>
      </c>
      <c r="B83" s="22">
        <v>778.65</v>
      </c>
      <c r="D83">
        <f t="shared" si="2"/>
        <v>-3.2642089093702868E-3</v>
      </c>
      <c r="F83" s="21" t="s">
        <v>296</v>
      </c>
      <c r="G83" s="22">
        <v>15824.05</v>
      </c>
      <c r="H83">
        <f t="shared" si="3"/>
        <v>1.2279220322285483E-2</v>
      </c>
    </row>
    <row r="84" spans="1:8" x14ac:dyDescent="0.45">
      <c r="A84" s="21" t="s">
        <v>297</v>
      </c>
      <c r="B84" s="22">
        <v>766.3</v>
      </c>
      <c r="D84">
        <f t="shared" si="2"/>
        <v>-1.5860784691453186E-2</v>
      </c>
      <c r="F84" s="21" t="s">
        <v>297</v>
      </c>
      <c r="G84" s="22">
        <v>15856.05</v>
      </c>
      <c r="H84">
        <f t="shared" si="3"/>
        <v>2.0222383018253863E-3</v>
      </c>
    </row>
    <row r="85" spans="1:8" x14ac:dyDescent="0.45">
      <c r="A85" s="21" t="s">
        <v>298</v>
      </c>
      <c r="B85" s="22">
        <v>752.3</v>
      </c>
      <c r="D85">
        <f t="shared" si="2"/>
        <v>-1.8269607203445126E-2</v>
      </c>
      <c r="F85" s="21" t="s">
        <v>298</v>
      </c>
      <c r="G85" s="22">
        <v>15824.45</v>
      </c>
      <c r="H85">
        <f t="shared" si="3"/>
        <v>-1.9929301433836638E-3</v>
      </c>
    </row>
    <row r="86" spans="1:8" x14ac:dyDescent="0.45">
      <c r="A86" s="21" t="s">
        <v>299</v>
      </c>
      <c r="B86" s="22">
        <v>730.85</v>
      </c>
      <c r="D86">
        <f t="shared" si="2"/>
        <v>-2.8512561478133636E-2</v>
      </c>
      <c r="F86" s="21" t="s">
        <v>299</v>
      </c>
      <c r="G86" s="22">
        <v>15746.45</v>
      </c>
      <c r="H86">
        <f t="shared" si="3"/>
        <v>-4.9290812634878306E-3</v>
      </c>
    </row>
    <row r="87" spans="1:8" x14ac:dyDescent="0.45">
      <c r="A87" s="21" t="s">
        <v>300</v>
      </c>
      <c r="B87" s="22">
        <v>717.7</v>
      </c>
      <c r="D87">
        <f t="shared" si="2"/>
        <v>-1.799274816993908E-2</v>
      </c>
      <c r="F87" s="21" t="s">
        <v>300</v>
      </c>
      <c r="G87" s="22">
        <v>15709.4</v>
      </c>
      <c r="H87">
        <f t="shared" si="3"/>
        <v>-2.3529112911164795E-3</v>
      </c>
    </row>
    <row r="88" spans="1:8" x14ac:dyDescent="0.45">
      <c r="A88" s="21" t="s">
        <v>301</v>
      </c>
      <c r="B88" s="22">
        <v>728.6</v>
      </c>
      <c r="D88">
        <f t="shared" si="2"/>
        <v>1.5187404207886271E-2</v>
      </c>
      <c r="F88" s="21" t="s">
        <v>301</v>
      </c>
      <c r="G88" s="22">
        <v>15778.45</v>
      </c>
      <c r="H88">
        <f t="shared" si="3"/>
        <v>4.3954574967854342E-3</v>
      </c>
    </row>
    <row r="89" spans="1:8" x14ac:dyDescent="0.45">
      <c r="A89" s="21" t="s">
        <v>302</v>
      </c>
      <c r="B89" s="22">
        <v>726.4</v>
      </c>
      <c r="D89">
        <f t="shared" si="2"/>
        <v>-3.0194894317870512E-3</v>
      </c>
      <c r="F89" s="21" t="s">
        <v>302</v>
      </c>
      <c r="G89" s="22">
        <v>15763.05</v>
      </c>
      <c r="H89">
        <f t="shared" si="3"/>
        <v>-9.7601475430105335E-4</v>
      </c>
    </row>
    <row r="90" spans="1:8" x14ac:dyDescent="0.45">
      <c r="A90" s="23">
        <v>44235</v>
      </c>
      <c r="B90" s="22">
        <v>723.45</v>
      </c>
      <c r="D90">
        <f t="shared" si="2"/>
        <v>-4.0611233480175269E-3</v>
      </c>
      <c r="F90" s="23">
        <v>44235</v>
      </c>
      <c r="G90" s="22">
        <v>15885.15</v>
      </c>
      <c r="H90">
        <f t="shared" si="3"/>
        <v>7.7459628688610624E-3</v>
      </c>
    </row>
    <row r="91" spans="1:8" x14ac:dyDescent="0.45">
      <c r="A91" s="23">
        <v>44263</v>
      </c>
      <c r="B91" s="22">
        <v>720.4</v>
      </c>
      <c r="D91">
        <f t="shared" si="2"/>
        <v>-4.2159098762873286E-3</v>
      </c>
      <c r="F91" s="23">
        <v>44263</v>
      </c>
      <c r="G91" s="22">
        <v>16130.75</v>
      </c>
      <c r="H91">
        <f t="shared" si="3"/>
        <v>1.5460980853186805E-2</v>
      </c>
    </row>
    <row r="92" spans="1:8" x14ac:dyDescent="0.45">
      <c r="A92" s="23">
        <v>44294</v>
      </c>
      <c r="B92" s="22">
        <v>712.75</v>
      </c>
      <c r="D92">
        <f t="shared" si="2"/>
        <v>-1.0619100499722344E-2</v>
      </c>
      <c r="F92" s="23">
        <v>44294</v>
      </c>
      <c r="G92" s="22">
        <v>16258.8</v>
      </c>
      <c r="H92">
        <f t="shared" si="3"/>
        <v>7.9382545758876228E-3</v>
      </c>
    </row>
    <row r="93" spans="1:8" x14ac:dyDescent="0.45">
      <c r="A93" s="23">
        <v>44324</v>
      </c>
      <c r="B93" s="22">
        <v>711.85</v>
      </c>
      <c r="D93">
        <f t="shared" si="2"/>
        <v>-1.2627148368993017E-3</v>
      </c>
      <c r="F93" s="23">
        <v>44324</v>
      </c>
      <c r="G93" s="22">
        <v>16294.6</v>
      </c>
      <c r="H93">
        <f t="shared" si="3"/>
        <v>2.201884517922669E-3</v>
      </c>
    </row>
    <row r="94" spans="1:8" x14ac:dyDescent="0.45">
      <c r="A94" s="23">
        <v>44355</v>
      </c>
      <c r="B94" s="22">
        <v>712.4</v>
      </c>
      <c r="D94">
        <f t="shared" si="2"/>
        <v>7.7263468427330828E-4</v>
      </c>
      <c r="F94" s="23">
        <v>44355</v>
      </c>
      <c r="G94" s="22">
        <v>16238.2</v>
      </c>
      <c r="H94">
        <f t="shared" si="3"/>
        <v>-3.46126937758519E-3</v>
      </c>
    </row>
    <row r="95" spans="1:8" x14ac:dyDescent="0.45">
      <c r="A95" s="23">
        <v>44447</v>
      </c>
      <c r="B95" s="22">
        <v>709.6</v>
      </c>
      <c r="D95">
        <f t="shared" si="2"/>
        <v>-3.9303761931498522E-3</v>
      </c>
      <c r="F95" s="23">
        <v>44447</v>
      </c>
      <c r="G95" s="22">
        <v>16258.25</v>
      </c>
      <c r="H95">
        <f t="shared" si="3"/>
        <v>1.2347427670554168E-3</v>
      </c>
    </row>
    <row r="96" spans="1:8" x14ac:dyDescent="0.45">
      <c r="A96" s="23">
        <v>44477</v>
      </c>
      <c r="B96" s="22">
        <v>706.55</v>
      </c>
      <c r="D96">
        <f t="shared" si="2"/>
        <v>-4.2981961668546618E-3</v>
      </c>
      <c r="F96" s="23">
        <v>44477</v>
      </c>
      <c r="G96" s="22">
        <v>16280.1</v>
      </c>
      <c r="H96">
        <f t="shared" si="3"/>
        <v>1.3439330801285725E-3</v>
      </c>
    </row>
    <row r="97" spans="1:8" x14ac:dyDescent="0.45">
      <c r="A97" s="23">
        <v>44508</v>
      </c>
      <c r="B97" s="22">
        <v>715.95</v>
      </c>
      <c r="D97">
        <f t="shared" si="2"/>
        <v>1.3304083221286662E-2</v>
      </c>
      <c r="F97" s="23">
        <v>44508</v>
      </c>
      <c r="G97" s="22">
        <v>16282.25</v>
      </c>
      <c r="H97">
        <f t="shared" si="3"/>
        <v>1.3206307086563573E-4</v>
      </c>
    </row>
    <row r="98" spans="1:8" x14ac:dyDescent="0.45">
      <c r="A98" s="23">
        <v>44538</v>
      </c>
      <c r="B98" s="22">
        <v>736.3</v>
      </c>
      <c r="D98">
        <f t="shared" si="2"/>
        <v>2.8423772609818994E-2</v>
      </c>
      <c r="F98" s="23">
        <v>44538</v>
      </c>
      <c r="G98" s="22">
        <v>16364.4</v>
      </c>
      <c r="H98">
        <f t="shared" si="3"/>
        <v>5.045371493497498E-3</v>
      </c>
    </row>
    <row r="99" spans="1:8" x14ac:dyDescent="0.45">
      <c r="A99" s="21" t="s">
        <v>303</v>
      </c>
      <c r="B99" s="22">
        <v>754.15</v>
      </c>
      <c r="D99">
        <f t="shared" si="2"/>
        <v>2.4242835800624779E-2</v>
      </c>
      <c r="F99" s="21" t="s">
        <v>303</v>
      </c>
      <c r="G99" s="22">
        <v>16529.099999999999</v>
      </c>
      <c r="H99">
        <f t="shared" si="3"/>
        <v>1.0064530321918244E-2</v>
      </c>
    </row>
    <row r="100" spans="1:8" x14ac:dyDescent="0.45">
      <c r="A100" s="21" t="s">
        <v>304</v>
      </c>
      <c r="B100" s="22">
        <v>760.8</v>
      </c>
      <c r="D100">
        <f t="shared" si="2"/>
        <v>8.817874428164129E-3</v>
      </c>
      <c r="F100" s="21" t="s">
        <v>304</v>
      </c>
      <c r="G100" s="22">
        <v>16563.05</v>
      </c>
      <c r="H100">
        <f t="shared" si="3"/>
        <v>2.0539533307924042E-3</v>
      </c>
    </row>
    <row r="101" spans="1:8" x14ac:dyDescent="0.45">
      <c r="A101" s="21" t="s">
        <v>305</v>
      </c>
      <c r="B101" s="22">
        <v>749.1</v>
      </c>
      <c r="D101">
        <f t="shared" si="2"/>
        <v>-1.5378548895898965E-2</v>
      </c>
      <c r="F101" s="21" t="s">
        <v>305</v>
      </c>
      <c r="G101" s="22">
        <v>16614.599999999999</v>
      </c>
      <c r="H101">
        <f t="shared" si="3"/>
        <v>3.1123494766965793E-3</v>
      </c>
    </row>
    <row r="102" spans="1:8" x14ac:dyDescent="0.45">
      <c r="A102" s="21" t="s">
        <v>306</v>
      </c>
      <c r="B102" s="22">
        <v>737.15</v>
      </c>
      <c r="D102">
        <f t="shared" si="2"/>
        <v>-1.5952476304899273E-2</v>
      </c>
      <c r="F102" s="21" t="s">
        <v>306</v>
      </c>
      <c r="G102" s="22">
        <v>16568.849999999999</v>
      </c>
      <c r="H102">
        <f t="shared" si="3"/>
        <v>-2.7536022534397461E-3</v>
      </c>
    </row>
    <row r="103" spans="1:8" x14ac:dyDescent="0.45">
      <c r="A103" s="21" t="s">
        <v>307</v>
      </c>
      <c r="B103" s="22">
        <v>730.05</v>
      </c>
      <c r="D103">
        <f t="shared" si="2"/>
        <v>-9.6316896154107351E-3</v>
      </c>
      <c r="F103" s="21" t="s">
        <v>307</v>
      </c>
      <c r="G103" s="22">
        <v>16450.5</v>
      </c>
      <c r="H103">
        <f t="shared" si="3"/>
        <v>-7.1429218080916032E-3</v>
      </c>
    </row>
    <row r="104" spans="1:8" x14ac:dyDescent="0.45">
      <c r="A104" s="21" t="s">
        <v>308</v>
      </c>
      <c r="B104" s="22">
        <v>719.65</v>
      </c>
      <c r="D104">
        <f t="shared" si="2"/>
        <v>-1.4245599616464596E-2</v>
      </c>
      <c r="F104" s="21" t="s">
        <v>309</v>
      </c>
      <c r="G104" s="22">
        <v>16624.599999999999</v>
      </c>
      <c r="H104">
        <f t="shared" si="3"/>
        <v>1.0583264946354125E-2</v>
      </c>
    </row>
    <row r="105" spans="1:8" x14ac:dyDescent="0.45">
      <c r="A105" s="21" t="s">
        <v>309</v>
      </c>
      <c r="B105" s="22">
        <v>719.3</v>
      </c>
      <c r="D105">
        <f t="shared" si="2"/>
        <v>-4.8634753004936116E-4</v>
      </c>
      <c r="F105" s="21" t="s">
        <v>310</v>
      </c>
      <c r="G105" s="22">
        <v>16634.650000000001</v>
      </c>
      <c r="H105">
        <f t="shared" si="3"/>
        <v>6.0452582317787565E-4</v>
      </c>
    </row>
    <row r="106" spans="1:8" x14ac:dyDescent="0.45">
      <c r="A106" s="21" t="s">
        <v>310</v>
      </c>
      <c r="B106" s="22">
        <v>728.05</v>
      </c>
      <c r="D106">
        <f t="shared" si="2"/>
        <v>1.2164604476574447E-2</v>
      </c>
      <c r="F106" s="21" t="s">
        <v>311</v>
      </c>
      <c r="G106" s="22">
        <v>16636.900000000001</v>
      </c>
      <c r="H106">
        <f t="shared" si="3"/>
        <v>1.3525983414138559E-4</v>
      </c>
    </row>
    <row r="107" spans="1:8" x14ac:dyDescent="0.45">
      <c r="A107" s="21" t="s">
        <v>311</v>
      </c>
      <c r="B107" s="22">
        <v>738.2</v>
      </c>
      <c r="D107">
        <f t="shared" si="2"/>
        <v>1.394135018199312E-2</v>
      </c>
      <c r="F107" s="21" t="s">
        <v>312</v>
      </c>
      <c r="G107" s="22">
        <v>16705.2</v>
      </c>
      <c r="H107">
        <f t="shared" si="3"/>
        <v>4.1053321231719411E-3</v>
      </c>
    </row>
    <row r="108" spans="1:8" x14ac:dyDescent="0.45">
      <c r="A108" s="21" t="s">
        <v>312</v>
      </c>
      <c r="B108" s="22">
        <v>736.9</v>
      </c>
      <c r="D108">
        <f t="shared" si="2"/>
        <v>-1.7610403684639232E-3</v>
      </c>
      <c r="F108" s="21" t="s">
        <v>313</v>
      </c>
      <c r="G108" s="22">
        <v>16931.05</v>
      </c>
      <c r="H108">
        <f t="shared" si="3"/>
        <v>1.3519742355673594E-2</v>
      </c>
    </row>
    <row r="109" spans="1:8" x14ac:dyDescent="0.45">
      <c r="A109" s="21" t="s">
        <v>313</v>
      </c>
      <c r="B109" s="22">
        <v>754.9</v>
      </c>
      <c r="D109">
        <f t="shared" si="2"/>
        <v>2.4426652191613517E-2</v>
      </c>
      <c r="F109" s="21" t="s">
        <v>314</v>
      </c>
      <c r="G109" s="22">
        <v>17132.2</v>
      </c>
      <c r="H109">
        <f t="shared" si="3"/>
        <v>1.1880539009689385E-2</v>
      </c>
    </row>
    <row r="110" spans="1:8" x14ac:dyDescent="0.45">
      <c r="A110" s="21" t="s">
        <v>314</v>
      </c>
      <c r="B110" s="22">
        <v>761.6</v>
      </c>
      <c r="D110">
        <f t="shared" si="2"/>
        <v>8.8753477281759783E-3</v>
      </c>
      <c r="F110" s="23">
        <v>44205</v>
      </c>
      <c r="G110" s="22">
        <v>17076.25</v>
      </c>
      <c r="H110">
        <f t="shared" si="3"/>
        <v>-3.2657802267076455E-3</v>
      </c>
    </row>
    <row r="111" spans="1:8" x14ac:dyDescent="0.45">
      <c r="A111" s="23">
        <v>44205</v>
      </c>
      <c r="B111" s="22">
        <v>768.85</v>
      </c>
      <c r="D111">
        <f t="shared" si="2"/>
        <v>9.5194327731092428E-3</v>
      </c>
      <c r="F111" s="23">
        <v>44236</v>
      </c>
      <c r="G111" s="22">
        <v>17234.150000000001</v>
      </c>
      <c r="H111">
        <f t="shared" si="3"/>
        <v>9.246760852060696E-3</v>
      </c>
    </row>
    <row r="112" spans="1:8" x14ac:dyDescent="0.45">
      <c r="A112" s="23">
        <v>44236</v>
      </c>
      <c r="B112" s="22">
        <v>761.35</v>
      </c>
      <c r="D112">
        <f t="shared" si="2"/>
        <v>-9.7548286401768873E-3</v>
      </c>
      <c r="F112" s="23">
        <v>44264</v>
      </c>
      <c r="G112" s="22">
        <v>17323.599999999999</v>
      </c>
      <c r="H112">
        <f t="shared" si="3"/>
        <v>5.1902762828452279E-3</v>
      </c>
    </row>
    <row r="113" spans="1:8" x14ac:dyDescent="0.45">
      <c r="A113" s="23">
        <v>44264</v>
      </c>
      <c r="B113" s="22">
        <v>754.7</v>
      </c>
      <c r="D113">
        <f t="shared" si="2"/>
        <v>-8.7344847967425979E-3</v>
      </c>
      <c r="F113" s="23">
        <v>44356</v>
      </c>
      <c r="G113" s="22">
        <v>17377.8</v>
      </c>
      <c r="H113">
        <f t="shared" si="3"/>
        <v>3.1286799510494775E-3</v>
      </c>
    </row>
    <row r="114" spans="1:8" x14ac:dyDescent="0.45">
      <c r="A114" s="23">
        <v>44356</v>
      </c>
      <c r="B114" s="22">
        <v>749.95</v>
      </c>
      <c r="D114">
        <f t="shared" si="2"/>
        <v>-6.2938916125612823E-3</v>
      </c>
      <c r="F114" s="23">
        <v>44386</v>
      </c>
      <c r="G114" s="22">
        <v>17362.099999999999</v>
      </c>
      <c r="H114">
        <f t="shared" si="3"/>
        <v>-9.034515301131747E-4</v>
      </c>
    </row>
    <row r="115" spans="1:8" x14ac:dyDescent="0.45">
      <c r="A115" s="23">
        <v>44386</v>
      </c>
      <c r="B115" s="22">
        <v>744.65</v>
      </c>
      <c r="D115">
        <f t="shared" si="2"/>
        <v>-7.0671378091873693E-3</v>
      </c>
      <c r="F115" s="23">
        <v>44417</v>
      </c>
      <c r="G115" s="22">
        <v>17353.5</v>
      </c>
      <c r="H115">
        <f t="shared" si="3"/>
        <v>-4.9533178590139128E-4</v>
      </c>
    </row>
    <row r="116" spans="1:8" x14ac:dyDescent="0.45">
      <c r="A116" s="23">
        <v>44417</v>
      </c>
      <c r="B116" s="22">
        <v>742.9</v>
      </c>
      <c r="D116">
        <f t="shared" si="2"/>
        <v>-2.3500973611763915E-3</v>
      </c>
      <c r="F116" s="23">
        <v>44448</v>
      </c>
      <c r="G116" s="22">
        <v>17369.25</v>
      </c>
      <c r="H116">
        <f t="shared" si="3"/>
        <v>9.0759789091537728E-4</v>
      </c>
    </row>
    <row r="117" spans="1:8" x14ac:dyDescent="0.45">
      <c r="A117" s="23">
        <v>44448</v>
      </c>
      <c r="B117" s="22">
        <v>751.4</v>
      </c>
      <c r="D117">
        <f t="shared" si="2"/>
        <v>1.1441647597254004E-2</v>
      </c>
      <c r="F117" s="21" t="s">
        <v>315</v>
      </c>
      <c r="G117" s="22">
        <v>17355.3</v>
      </c>
      <c r="H117">
        <f t="shared" si="3"/>
        <v>-8.0314348633364868E-4</v>
      </c>
    </row>
    <row r="118" spans="1:8" x14ac:dyDescent="0.45">
      <c r="A118" s="21" t="s">
        <v>315</v>
      </c>
      <c r="B118" s="22">
        <v>742.1</v>
      </c>
      <c r="D118">
        <f t="shared" si="2"/>
        <v>-1.2376896459941382E-2</v>
      </c>
      <c r="F118" s="21" t="s">
        <v>316</v>
      </c>
      <c r="G118" s="22">
        <v>17380</v>
      </c>
      <c r="H118">
        <f t="shared" si="3"/>
        <v>1.4231963722897748E-3</v>
      </c>
    </row>
    <row r="119" spans="1:8" x14ac:dyDescent="0.45">
      <c r="A119" s="21" t="s">
        <v>316</v>
      </c>
      <c r="B119" s="22">
        <v>738.15</v>
      </c>
      <c r="D119">
        <f t="shared" si="2"/>
        <v>-5.3227327853389642E-3</v>
      </c>
      <c r="F119" s="21" t="s">
        <v>317</v>
      </c>
      <c r="G119" s="22">
        <v>17519.45</v>
      </c>
      <c r="H119">
        <f t="shared" si="3"/>
        <v>8.0235903337169574E-3</v>
      </c>
    </row>
    <row r="120" spans="1:8" x14ac:dyDescent="0.45">
      <c r="A120" s="21" t="s">
        <v>317</v>
      </c>
      <c r="B120" s="22">
        <v>740.6</v>
      </c>
      <c r="D120">
        <f t="shared" si="2"/>
        <v>3.3191085822665387E-3</v>
      </c>
      <c r="F120" s="21" t="s">
        <v>318</v>
      </c>
      <c r="G120" s="22">
        <v>17629.5</v>
      </c>
      <c r="H120">
        <f t="shared" si="3"/>
        <v>6.2815898900935403E-3</v>
      </c>
    </row>
    <row r="121" spans="1:8" x14ac:dyDescent="0.45">
      <c r="A121" s="21" t="s">
        <v>318</v>
      </c>
      <c r="B121" s="22">
        <v>743.1</v>
      </c>
      <c r="D121">
        <f t="shared" si="2"/>
        <v>3.3756413718606534E-3</v>
      </c>
      <c r="F121" s="21" t="s">
        <v>319</v>
      </c>
      <c r="G121" s="22">
        <v>17585.150000000001</v>
      </c>
      <c r="H121">
        <f t="shared" si="3"/>
        <v>-2.5156697580758698E-3</v>
      </c>
    </row>
    <row r="122" spans="1:8" x14ac:dyDescent="0.45">
      <c r="A122" s="21" t="s">
        <v>319</v>
      </c>
      <c r="B122" s="22">
        <v>761</v>
      </c>
      <c r="D122">
        <f t="shared" si="2"/>
        <v>2.4088278831920301E-2</v>
      </c>
      <c r="F122" s="21" t="s">
        <v>320</v>
      </c>
      <c r="G122" s="22">
        <v>17396.900000000001</v>
      </c>
      <c r="H122">
        <f t="shared" si="3"/>
        <v>-1.0705055117528142E-2</v>
      </c>
    </row>
    <row r="123" spans="1:8" x14ac:dyDescent="0.45">
      <c r="A123" s="21" t="s">
        <v>320</v>
      </c>
      <c r="B123" s="22">
        <v>754.85</v>
      </c>
      <c r="D123">
        <f t="shared" si="2"/>
        <v>-8.081471747700365E-3</v>
      </c>
      <c r="F123" s="21" t="s">
        <v>321</v>
      </c>
      <c r="G123" s="22">
        <v>17562</v>
      </c>
      <c r="H123">
        <f t="shared" si="3"/>
        <v>9.4901965292666247E-3</v>
      </c>
    </row>
    <row r="124" spans="1:8" x14ac:dyDescent="0.45">
      <c r="A124" s="21" t="s">
        <v>321</v>
      </c>
      <c r="B124" s="22">
        <v>756.6</v>
      </c>
      <c r="D124">
        <f t="shared" si="2"/>
        <v>2.3183413923296018E-3</v>
      </c>
      <c r="F124" s="21" t="s">
        <v>322</v>
      </c>
      <c r="G124" s="22">
        <v>17546.650000000001</v>
      </c>
      <c r="H124">
        <f t="shared" si="3"/>
        <v>-8.7404623619169485E-4</v>
      </c>
    </row>
    <row r="125" spans="1:8" x14ac:dyDescent="0.45">
      <c r="A125" s="21" t="s">
        <v>322</v>
      </c>
      <c r="B125" s="22">
        <v>756.45</v>
      </c>
      <c r="D125">
        <f t="shared" si="2"/>
        <v>-1.9825535289449809E-4</v>
      </c>
      <c r="F125" s="21" t="s">
        <v>323</v>
      </c>
      <c r="G125" s="22">
        <v>17822.95</v>
      </c>
      <c r="H125">
        <f t="shared" si="3"/>
        <v>1.5746595503985047E-2</v>
      </c>
    </row>
    <row r="126" spans="1:8" x14ac:dyDescent="0.45">
      <c r="A126" s="21" t="s">
        <v>323</v>
      </c>
      <c r="B126" s="22">
        <v>744.9</v>
      </c>
      <c r="D126">
        <f t="shared" si="2"/>
        <v>-1.5268689272258665E-2</v>
      </c>
      <c r="F126" s="21" t="s">
        <v>324</v>
      </c>
      <c r="G126" s="22">
        <v>17853.2</v>
      </c>
      <c r="H126">
        <f t="shared" si="3"/>
        <v>1.6972498940972173E-3</v>
      </c>
    </row>
    <row r="127" spans="1:8" x14ac:dyDescent="0.45">
      <c r="A127" s="21" t="s">
        <v>324</v>
      </c>
      <c r="B127" s="22">
        <v>758.85</v>
      </c>
      <c r="D127">
        <f t="shared" si="2"/>
        <v>1.8727345952476906E-2</v>
      </c>
      <c r="F127" s="21" t="s">
        <v>325</v>
      </c>
      <c r="G127" s="22">
        <v>17855.099999999999</v>
      </c>
      <c r="H127">
        <f t="shared" si="3"/>
        <v>1.0642349830830423E-4</v>
      </c>
    </row>
    <row r="128" spans="1:8" x14ac:dyDescent="0.45">
      <c r="A128" s="21" t="s">
        <v>325</v>
      </c>
      <c r="B128" s="22">
        <v>797.75</v>
      </c>
      <c r="D128">
        <f t="shared" si="2"/>
        <v>5.1261777689925514E-2</v>
      </c>
      <c r="F128" s="21" t="s">
        <v>326</v>
      </c>
      <c r="G128" s="22">
        <v>17748.599999999999</v>
      </c>
      <c r="H128">
        <f t="shared" si="3"/>
        <v>-5.9646823596619459E-3</v>
      </c>
    </row>
    <row r="129" spans="1:8" x14ac:dyDescent="0.45">
      <c r="A129" s="21" t="s">
        <v>326</v>
      </c>
      <c r="B129" s="22">
        <v>809.1</v>
      </c>
      <c r="D129">
        <f t="shared" si="2"/>
        <v>1.4227514885615822E-2</v>
      </c>
      <c r="F129" s="21" t="s">
        <v>327</v>
      </c>
      <c r="G129" s="22">
        <v>17711.3</v>
      </c>
      <c r="H129">
        <f t="shared" si="3"/>
        <v>-2.1015742086699387E-3</v>
      </c>
    </row>
    <row r="130" spans="1:8" x14ac:dyDescent="0.45">
      <c r="A130" s="21" t="s">
        <v>327</v>
      </c>
      <c r="B130" s="22">
        <v>811.35</v>
      </c>
      <c r="D130">
        <f t="shared" si="2"/>
        <v>2.7808676307007787E-3</v>
      </c>
      <c r="F130" s="21" t="s">
        <v>328</v>
      </c>
      <c r="G130" s="22">
        <v>17618.150000000001</v>
      </c>
      <c r="H130">
        <f t="shared" si="3"/>
        <v>-5.2593541976025376E-3</v>
      </c>
    </row>
    <row r="131" spans="1:8" x14ac:dyDescent="0.45">
      <c r="A131" s="21" t="s">
        <v>328</v>
      </c>
      <c r="B131" s="22">
        <v>803.95</v>
      </c>
      <c r="D131">
        <f t="shared" si="2"/>
        <v>-9.1206014666912888E-3</v>
      </c>
      <c r="F131" s="23">
        <v>44206</v>
      </c>
      <c r="G131" s="22">
        <v>17532.05</v>
      </c>
      <c r="H131">
        <f t="shared" si="3"/>
        <v>-4.8870057298866327E-3</v>
      </c>
    </row>
    <row r="132" spans="1:8" x14ac:dyDescent="0.45">
      <c r="A132" s="23">
        <v>44206</v>
      </c>
      <c r="B132" s="22">
        <v>781.35</v>
      </c>
      <c r="D132">
        <f t="shared" ref="D132:D195" si="4">(B132-B131)/B131</f>
        <v>-2.8111200945332447E-2</v>
      </c>
      <c r="F132" s="23">
        <v>44296</v>
      </c>
      <c r="G132" s="22">
        <v>17691.25</v>
      </c>
      <c r="H132">
        <f t="shared" si="3"/>
        <v>9.0805125470210697E-3</v>
      </c>
    </row>
    <row r="133" spans="1:8" x14ac:dyDescent="0.45">
      <c r="A133" s="23">
        <v>44296</v>
      </c>
      <c r="B133" s="22">
        <v>785.8</v>
      </c>
      <c r="D133">
        <f t="shared" si="4"/>
        <v>5.6952710053112324E-3</v>
      </c>
      <c r="F133" s="23">
        <v>44326</v>
      </c>
      <c r="G133" s="22">
        <v>17822.3</v>
      </c>
      <c r="H133">
        <f t="shared" ref="H133:H196" si="5">(G133-G132)/G132</f>
        <v>7.4076167596975493E-3</v>
      </c>
    </row>
    <row r="134" spans="1:8" x14ac:dyDescent="0.45">
      <c r="A134" s="23">
        <v>44326</v>
      </c>
      <c r="B134" s="22">
        <v>786.95</v>
      </c>
      <c r="D134">
        <f t="shared" si="4"/>
        <v>1.4634767116315742E-3</v>
      </c>
      <c r="F134" s="23">
        <v>44357</v>
      </c>
      <c r="G134" s="22">
        <v>17646</v>
      </c>
      <c r="H134">
        <f t="shared" si="5"/>
        <v>-9.8921014683850724E-3</v>
      </c>
    </row>
    <row r="135" spans="1:8" x14ac:dyDescent="0.45">
      <c r="A135" s="23">
        <v>44357</v>
      </c>
      <c r="B135" s="22">
        <v>773.3</v>
      </c>
      <c r="D135">
        <f t="shared" si="4"/>
        <v>-1.7345447614206862E-2</v>
      </c>
      <c r="F135" s="23">
        <v>44387</v>
      </c>
      <c r="G135" s="22">
        <v>17790.349999999999</v>
      </c>
      <c r="H135">
        <f t="shared" si="5"/>
        <v>8.1803241527824179E-3</v>
      </c>
    </row>
    <row r="136" spans="1:8" x14ac:dyDescent="0.45">
      <c r="A136" s="23">
        <v>44387</v>
      </c>
      <c r="B136" s="22">
        <v>777.25</v>
      </c>
      <c r="D136">
        <f t="shared" si="4"/>
        <v>5.1079787921893775E-3</v>
      </c>
      <c r="F136" s="23">
        <v>44418</v>
      </c>
      <c r="G136" s="22">
        <v>17895.2</v>
      </c>
      <c r="H136">
        <f t="shared" si="5"/>
        <v>5.8936445882178928E-3</v>
      </c>
    </row>
    <row r="137" spans="1:8" x14ac:dyDescent="0.45">
      <c r="A137" s="23">
        <v>44418</v>
      </c>
      <c r="B137" s="22">
        <v>784.2</v>
      </c>
      <c r="D137">
        <f t="shared" si="4"/>
        <v>8.9417819234481125E-3</v>
      </c>
      <c r="F137" s="23">
        <v>44510</v>
      </c>
      <c r="G137" s="22">
        <v>17945.95</v>
      </c>
      <c r="H137">
        <f t="shared" si="5"/>
        <v>2.8359560105503151E-3</v>
      </c>
    </row>
    <row r="138" spans="1:8" x14ac:dyDescent="0.45">
      <c r="A138" s="23">
        <v>44510</v>
      </c>
      <c r="B138" s="22">
        <v>789.2</v>
      </c>
      <c r="D138">
        <f t="shared" si="4"/>
        <v>6.3759245090538128E-3</v>
      </c>
      <c r="F138" s="23">
        <v>44540</v>
      </c>
      <c r="G138" s="22">
        <v>17991.95</v>
      </c>
      <c r="H138">
        <f t="shared" si="5"/>
        <v>2.5632524330002032E-3</v>
      </c>
    </row>
    <row r="139" spans="1:8" x14ac:dyDescent="0.45">
      <c r="A139" s="23">
        <v>44540</v>
      </c>
      <c r="B139" s="22">
        <v>790.7</v>
      </c>
      <c r="D139">
        <f t="shared" si="4"/>
        <v>1.9006588950836289E-3</v>
      </c>
      <c r="F139" s="21" t="s">
        <v>329</v>
      </c>
      <c r="G139" s="22">
        <v>18161.75</v>
      </c>
      <c r="H139">
        <f t="shared" si="5"/>
        <v>9.4375540172132125E-3</v>
      </c>
    </row>
    <row r="140" spans="1:8" x14ac:dyDescent="0.45">
      <c r="A140" s="21" t="s">
        <v>329</v>
      </c>
      <c r="B140" s="22">
        <v>804.15</v>
      </c>
      <c r="D140">
        <f t="shared" si="4"/>
        <v>1.7010244087517303E-2</v>
      </c>
      <c r="F140" s="21" t="s">
        <v>330</v>
      </c>
      <c r="G140" s="22">
        <v>18338.55</v>
      </c>
      <c r="H140">
        <f t="shared" si="5"/>
        <v>9.7347447244896159E-3</v>
      </c>
    </row>
    <row r="141" spans="1:8" x14ac:dyDescent="0.45">
      <c r="A141" s="21" t="s">
        <v>330</v>
      </c>
      <c r="B141" s="22">
        <v>813.3</v>
      </c>
      <c r="D141">
        <f t="shared" si="4"/>
        <v>1.1378474165267646E-2</v>
      </c>
      <c r="F141" s="21" t="s">
        <v>331</v>
      </c>
      <c r="G141" s="22">
        <v>18477.05</v>
      </c>
      <c r="H141">
        <f t="shared" si="5"/>
        <v>7.5523964544634125E-3</v>
      </c>
    </row>
    <row r="142" spans="1:8" x14ac:dyDescent="0.45">
      <c r="A142" s="21" t="s">
        <v>331</v>
      </c>
      <c r="B142" s="22">
        <v>838.3</v>
      </c>
      <c r="D142">
        <f t="shared" si="4"/>
        <v>3.0738964711668513E-2</v>
      </c>
      <c r="F142" s="21" t="s">
        <v>332</v>
      </c>
      <c r="G142" s="22">
        <v>18418.75</v>
      </c>
      <c r="H142">
        <f t="shared" si="5"/>
        <v>-3.1552655862271996E-3</v>
      </c>
    </row>
    <row r="143" spans="1:8" x14ac:dyDescent="0.45">
      <c r="A143" s="21" t="s">
        <v>332</v>
      </c>
      <c r="B143" s="22">
        <v>813.5</v>
      </c>
      <c r="D143">
        <f t="shared" si="4"/>
        <v>-2.9583681259692182E-2</v>
      </c>
      <c r="F143" s="21" t="s">
        <v>333</v>
      </c>
      <c r="G143" s="22">
        <v>18266.599999999999</v>
      </c>
      <c r="H143">
        <f t="shared" si="5"/>
        <v>-8.2606040040720165E-3</v>
      </c>
    </row>
    <row r="144" spans="1:8" x14ac:dyDescent="0.45">
      <c r="A144" s="21" t="s">
        <v>333</v>
      </c>
      <c r="B144" s="22">
        <v>792.7</v>
      </c>
      <c r="D144">
        <f t="shared" si="4"/>
        <v>-2.5568531038721518E-2</v>
      </c>
      <c r="F144" s="21" t="s">
        <v>334</v>
      </c>
      <c r="G144" s="22">
        <v>18178.099999999999</v>
      </c>
      <c r="H144">
        <f t="shared" si="5"/>
        <v>-4.8449081930955953E-3</v>
      </c>
    </row>
    <row r="145" spans="1:8" x14ac:dyDescent="0.45">
      <c r="A145" s="21" t="s">
        <v>334</v>
      </c>
      <c r="B145" s="22">
        <v>806.8</v>
      </c>
      <c r="D145">
        <f t="shared" si="4"/>
        <v>1.7787309196417193E-2</v>
      </c>
      <c r="F145" s="21" t="s">
        <v>335</v>
      </c>
      <c r="G145" s="22">
        <v>18114.900000000001</v>
      </c>
      <c r="H145">
        <f t="shared" si="5"/>
        <v>-3.4767109873967629E-3</v>
      </c>
    </row>
    <row r="146" spans="1:8" x14ac:dyDescent="0.45">
      <c r="A146" s="21" t="s">
        <v>335</v>
      </c>
      <c r="B146" s="22">
        <v>802.35</v>
      </c>
      <c r="D146">
        <f t="shared" si="4"/>
        <v>-5.5156172533464701E-3</v>
      </c>
      <c r="F146" s="21" t="s">
        <v>336</v>
      </c>
      <c r="G146" s="22">
        <v>18125.400000000001</v>
      </c>
      <c r="H146">
        <f t="shared" si="5"/>
        <v>5.7963334050974602E-4</v>
      </c>
    </row>
    <row r="147" spans="1:8" x14ac:dyDescent="0.45">
      <c r="A147" s="21" t="s">
        <v>336</v>
      </c>
      <c r="B147" s="22">
        <v>805.05</v>
      </c>
      <c r="D147">
        <f t="shared" si="4"/>
        <v>3.3651149747615525E-3</v>
      </c>
      <c r="F147" s="21" t="s">
        <v>337</v>
      </c>
      <c r="G147" s="22">
        <v>18268.400000000001</v>
      </c>
      <c r="H147">
        <f t="shared" si="5"/>
        <v>7.8894810597283371E-3</v>
      </c>
    </row>
    <row r="148" spans="1:8" x14ac:dyDescent="0.45">
      <c r="A148" s="21" t="s">
        <v>337</v>
      </c>
      <c r="B148" s="22">
        <v>813.25</v>
      </c>
      <c r="D148">
        <f t="shared" si="4"/>
        <v>1.0185702751381958E-2</v>
      </c>
      <c r="F148" s="21" t="s">
        <v>338</v>
      </c>
      <c r="G148" s="22">
        <v>18210.95</v>
      </c>
      <c r="H148">
        <f t="shared" si="5"/>
        <v>-3.1447745834337283E-3</v>
      </c>
    </row>
    <row r="149" spans="1:8" x14ac:dyDescent="0.45">
      <c r="A149" s="21" t="s">
        <v>338</v>
      </c>
      <c r="B149" s="22">
        <v>814</v>
      </c>
      <c r="D149">
        <f t="shared" si="4"/>
        <v>9.2222563787273287E-4</v>
      </c>
      <c r="F149" s="21" t="s">
        <v>339</v>
      </c>
      <c r="G149" s="22">
        <v>17857.25</v>
      </c>
      <c r="H149">
        <f t="shared" si="5"/>
        <v>-1.9422380490858562E-2</v>
      </c>
    </row>
    <row r="150" spans="1:8" x14ac:dyDescent="0.45">
      <c r="A150" s="21" t="s">
        <v>339</v>
      </c>
      <c r="B150" s="22">
        <v>811.1</v>
      </c>
      <c r="D150">
        <f t="shared" si="4"/>
        <v>-3.5626535626535347E-3</v>
      </c>
      <c r="F150" s="21" t="s">
        <v>340</v>
      </c>
      <c r="G150" s="22">
        <v>17671.650000000001</v>
      </c>
      <c r="H150">
        <f t="shared" si="5"/>
        <v>-1.0393537638774085E-2</v>
      </c>
    </row>
    <row r="151" spans="1:8" x14ac:dyDescent="0.45">
      <c r="A151" s="21" t="s">
        <v>340</v>
      </c>
      <c r="B151" s="22">
        <v>802.85</v>
      </c>
      <c r="D151">
        <f t="shared" si="4"/>
        <v>-1.0171372210578226E-2</v>
      </c>
      <c r="F151" s="23">
        <v>44207</v>
      </c>
      <c r="G151" s="22">
        <v>17929.650000000001</v>
      </c>
      <c r="H151">
        <f t="shared" si="5"/>
        <v>1.4599655380227651E-2</v>
      </c>
    </row>
    <row r="152" spans="1:8" x14ac:dyDescent="0.45">
      <c r="A152" s="23">
        <v>44207</v>
      </c>
      <c r="B152" s="22">
        <v>805.25</v>
      </c>
      <c r="D152">
        <f t="shared" si="4"/>
        <v>2.9893504390608172E-3</v>
      </c>
      <c r="F152" s="23">
        <v>44238</v>
      </c>
      <c r="G152" s="22">
        <v>17888.95</v>
      </c>
      <c r="H152">
        <f t="shared" si="5"/>
        <v>-2.2699829611844474E-3</v>
      </c>
    </row>
    <row r="153" spans="1:8" x14ac:dyDescent="0.45">
      <c r="A153" s="23">
        <v>44238</v>
      </c>
      <c r="B153" s="22">
        <v>809.35</v>
      </c>
      <c r="D153">
        <f t="shared" si="4"/>
        <v>5.0915864638311362E-3</v>
      </c>
      <c r="F153" s="23">
        <v>44266</v>
      </c>
      <c r="G153" s="22">
        <v>17829.2</v>
      </c>
      <c r="H153">
        <f t="shared" si="5"/>
        <v>-3.3400507016901494E-3</v>
      </c>
    </row>
    <row r="154" spans="1:8" x14ac:dyDescent="0.45">
      <c r="A154" s="23">
        <v>44266</v>
      </c>
      <c r="B154" s="22">
        <v>800.65</v>
      </c>
      <c r="D154">
        <f t="shared" si="4"/>
        <v>-1.0749366775807803E-2</v>
      </c>
      <c r="F154" s="23">
        <v>44297</v>
      </c>
      <c r="G154" s="22">
        <v>17916.8</v>
      </c>
      <c r="H154">
        <f t="shared" si="5"/>
        <v>4.9132883135529657E-3</v>
      </c>
    </row>
    <row r="155" spans="1:8" x14ac:dyDescent="0.45">
      <c r="A155" s="23">
        <v>44297</v>
      </c>
      <c r="B155" s="22">
        <v>805.05</v>
      </c>
      <c r="D155">
        <f t="shared" si="4"/>
        <v>5.4955348779116685E-3</v>
      </c>
      <c r="F155" s="23">
        <v>44419</v>
      </c>
      <c r="G155" s="22">
        <v>18068.55</v>
      </c>
      <c r="H155">
        <f t="shared" si="5"/>
        <v>8.4697044115020544E-3</v>
      </c>
    </row>
    <row r="156" spans="1:8" x14ac:dyDescent="0.45">
      <c r="A156" s="23">
        <v>44419</v>
      </c>
      <c r="B156" s="22">
        <v>814.3</v>
      </c>
      <c r="D156">
        <f t="shared" si="4"/>
        <v>1.1489969567107634E-2</v>
      </c>
      <c r="F156" s="23">
        <v>44450</v>
      </c>
      <c r="G156" s="22">
        <v>18044.25</v>
      </c>
      <c r="H156">
        <f t="shared" si="5"/>
        <v>-1.3448782553109836E-3</v>
      </c>
    </row>
    <row r="157" spans="1:8" x14ac:dyDescent="0.45">
      <c r="A157" s="23">
        <v>44450</v>
      </c>
      <c r="B157" s="22">
        <v>825.95</v>
      </c>
      <c r="D157">
        <f t="shared" si="4"/>
        <v>1.4306766547955412E-2</v>
      </c>
      <c r="F157" s="23">
        <v>44480</v>
      </c>
      <c r="G157" s="22">
        <v>18017.2</v>
      </c>
      <c r="H157">
        <f t="shared" si="5"/>
        <v>-1.4990925086938649E-3</v>
      </c>
    </row>
    <row r="158" spans="1:8" x14ac:dyDescent="0.45">
      <c r="A158" s="23">
        <v>44480</v>
      </c>
      <c r="B158" s="22">
        <v>828.1</v>
      </c>
      <c r="D158">
        <f t="shared" si="4"/>
        <v>2.6030631394151913E-3</v>
      </c>
      <c r="F158" s="23">
        <v>44511</v>
      </c>
      <c r="G158" s="22">
        <v>17873.599999999999</v>
      </c>
      <c r="H158">
        <f t="shared" si="5"/>
        <v>-7.9701618453478992E-3</v>
      </c>
    </row>
    <row r="159" spans="1:8" x14ac:dyDescent="0.45">
      <c r="A159" s="23">
        <v>44511</v>
      </c>
      <c r="B159" s="22">
        <v>826.15</v>
      </c>
      <c r="D159">
        <f t="shared" si="4"/>
        <v>-2.3547880690738382E-3</v>
      </c>
      <c r="F159" s="23">
        <v>44541</v>
      </c>
      <c r="G159" s="22">
        <v>18102.75</v>
      </c>
      <c r="H159">
        <f t="shared" si="5"/>
        <v>1.2820584549279467E-2</v>
      </c>
    </row>
    <row r="160" spans="1:8" x14ac:dyDescent="0.45">
      <c r="A160" s="23">
        <v>44541</v>
      </c>
      <c r="B160" s="22">
        <v>820.35</v>
      </c>
      <c r="D160">
        <f t="shared" si="4"/>
        <v>-7.0205168552925678E-3</v>
      </c>
      <c r="F160" s="21" t="s">
        <v>341</v>
      </c>
      <c r="G160" s="22">
        <v>18109.45</v>
      </c>
      <c r="H160">
        <f t="shared" si="5"/>
        <v>3.7010951374795144E-4</v>
      </c>
    </row>
    <row r="161" spans="1:8" x14ac:dyDescent="0.45">
      <c r="A161" s="21" t="s">
        <v>341</v>
      </c>
      <c r="B161" s="22">
        <v>827.15</v>
      </c>
      <c r="D161">
        <f t="shared" si="4"/>
        <v>8.289144877186511E-3</v>
      </c>
      <c r="F161" s="21" t="s">
        <v>342</v>
      </c>
      <c r="G161" s="22">
        <v>17999.2</v>
      </c>
      <c r="H161">
        <f t="shared" si="5"/>
        <v>-6.0879816891181125E-3</v>
      </c>
    </row>
    <row r="162" spans="1:8" x14ac:dyDescent="0.45">
      <c r="A162" s="21" t="s">
        <v>342</v>
      </c>
      <c r="B162" s="22">
        <v>823.1</v>
      </c>
      <c r="D162">
        <f t="shared" si="4"/>
        <v>-4.8963307743455902E-3</v>
      </c>
      <c r="F162" s="21" t="s">
        <v>343</v>
      </c>
      <c r="G162" s="22">
        <v>17898.650000000001</v>
      </c>
      <c r="H162">
        <f t="shared" si="5"/>
        <v>-5.5863593937507923E-3</v>
      </c>
    </row>
    <row r="163" spans="1:8" x14ac:dyDescent="0.45">
      <c r="A163" s="21" t="s">
        <v>343</v>
      </c>
      <c r="B163" s="22">
        <v>823.75</v>
      </c>
      <c r="D163">
        <f t="shared" si="4"/>
        <v>7.8969748511721204E-4</v>
      </c>
      <c r="F163" s="21" t="s">
        <v>344</v>
      </c>
      <c r="G163" s="22">
        <v>17764.8</v>
      </c>
      <c r="H163">
        <f t="shared" si="5"/>
        <v>-7.4782176309387679E-3</v>
      </c>
    </row>
    <row r="164" spans="1:8" x14ac:dyDescent="0.45">
      <c r="A164" s="21" t="s">
        <v>344</v>
      </c>
      <c r="B164" s="22">
        <v>815.05</v>
      </c>
      <c r="D164">
        <f t="shared" si="4"/>
        <v>-1.0561456752655594E-2</v>
      </c>
      <c r="F164" s="21" t="s">
        <v>345</v>
      </c>
      <c r="G164" s="22">
        <v>17416.55</v>
      </c>
      <c r="H164">
        <f t="shared" si="5"/>
        <v>-1.9603372962262451E-2</v>
      </c>
    </row>
    <row r="165" spans="1:8" x14ac:dyDescent="0.45">
      <c r="A165" s="21" t="s">
        <v>345</v>
      </c>
      <c r="B165" s="22">
        <v>798.05</v>
      </c>
      <c r="D165">
        <f t="shared" si="4"/>
        <v>-2.0857616097171953E-2</v>
      </c>
      <c r="F165" s="21" t="s">
        <v>346</v>
      </c>
      <c r="G165" s="22">
        <v>17503.349999999999</v>
      </c>
      <c r="H165">
        <f t="shared" si="5"/>
        <v>4.9837654414909543E-3</v>
      </c>
    </row>
    <row r="166" spans="1:8" x14ac:dyDescent="0.45">
      <c r="A166" s="21" t="s">
        <v>346</v>
      </c>
      <c r="B166" s="22">
        <v>810.75</v>
      </c>
      <c r="D166">
        <f t="shared" si="4"/>
        <v>1.5913789862790611E-2</v>
      </c>
      <c r="F166" s="21" t="s">
        <v>347</v>
      </c>
      <c r="G166" s="22">
        <v>17415.05</v>
      </c>
      <c r="H166">
        <f t="shared" si="5"/>
        <v>-5.0447485767009907E-3</v>
      </c>
    </row>
    <row r="167" spans="1:8" x14ac:dyDescent="0.45">
      <c r="A167" s="21" t="s">
        <v>347</v>
      </c>
      <c r="B167" s="22">
        <v>800.6</v>
      </c>
      <c r="D167">
        <f t="shared" si="4"/>
        <v>-1.2519272278754212E-2</v>
      </c>
      <c r="F167" s="21" t="s">
        <v>348</v>
      </c>
      <c r="G167" s="22">
        <v>17536.25</v>
      </c>
      <c r="H167">
        <f t="shared" si="5"/>
        <v>6.9594976758608632E-3</v>
      </c>
    </row>
    <row r="168" spans="1:8" x14ac:dyDescent="0.45">
      <c r="A168" s="21" t="s">
        <v>348</v>
      </c>
      <c r="B168" s="22">
        <v>802.3</v>
      </c>
      <c r="D168">
        <f t="shared" si="4"/>
        <v>2.1234074444166024E-3</v>
      </c>
      <c r="F168" s="21" t="s">
        <v>349</v>
      </c>
      <c r="G168" s="22">
        <v>17026.45</v>
      </c>
      <c r="H168">
        <f t="shared" si="5"/>
        <v>-2.9071209637180087E-2</v>
      </c>
    </row>
    <row r="169" spans="1:8" x14ac:dyDescent="0.45">
      <c r="A169" s="21" t="s">
        <v>349</v>
      </c>
      <c r="B169" s="22">
        <v>790.8</v>
      </c>
      <c r="D169">
        <f t="shared" si="4"/>
        <v>-1.4333790352735885E-2</v>
      </c>
      <c r="F169" s="21" t="s">
        <v>350</v>
      </c>
      <c r="G169" s="22">
        <v>17053.95</v>
      </c>
      <c r="H169">
        <f t="shared" si="5"/>
        <v>1.6151341001794267E-3</v>
      </c>
    </row>
    <row r="170" spans="1:8" x14ac:dyDescent="0.45">
      <c r="A170" s="21" t="s">
        <v>350</v>
      </c>
      <c r="B170" s="22">
        <v>795.9</v>
      </c>
      <c r="D170">
        <f t="shared" si="4"/>
        <v>6.4491654021244602E-3</v>
      </c>
      <c r="F170" s="21" t="s">
        <v>351</v>
      </c>
      <c r="G170" s="22">
        <v>16983.2</v>
      </c>
      <c r="H170">
        <f t="shared" si="5"/>
        <v>-4.1485990049226129E-3</v>
      </c>
    </row>
    <row r="171" spans="1:8" x14ac:dyDescent="0.45">
      <c r="A171" s="21" t="s">
        <v>351</v>
      </c>
      <c r="B171" s="22">
        <v>789.15</v>
      </c>
      <c r="D171">
        <f t="shared" si="4"/>
        <v>-8.4809649453448932E-3</v>
      </c>
      <c r="F171" s="23">
        <v>44208</v>
      </c>
      <c r="G171" s="22">
        <v>17166.900000000001</v>
      </c>
      <c r="H171">
        <f t="shared" si="5"/>
        <v>1.0816571670827684E-2</v>
      </c>
    </row>
    <row r="172" spans="1:8" x14ac:dyDescent="0.45">
      <c r="A172" s="23">
        <v>44208</v>
      </c>
      <c r="B172" s="22">
        <v>786.5</v>
      </c>
      <c r="D172">
        <f t="shared" si="4"/>
        <v>-3.3580434644870775E-3</v>
      </c>
      <c r="F172" s="23">
        <v>44239</v>
      </c>
      <c r="G172" s="22">
        <v>17401.650000000001</v>
      </c>
      <c r="H172">
        <f t="shared" si="5"/>
        <v>1.3674571413592436E-2</v>
      </c>
    </row>
    <row r="173" spans="1:8" x14ac:dyDescent="0.45">
      <c r="A173" s="23">
        <v>44239</v>
      </c>
      <c r="B173" s="22">
        <v>792.7</v>
      </c>
      <c r="D173">
        <f t="shared" si="4"/>
        <v>7.8830260648443048E-3</v>
      </c>
      <c r="F173" s="23">
        <v>44267</v>
      </c>
      <c r="G173" s="22">
        <v>17196.7</v>
      </c>
      <c r="H173">
        <f t="shared" si="5"/>
        <v>-1.177761878902292E-2</v>
      </c>
    </row>
    <row r="174" spans="1:8" x14ac:dyDescent="0.45">
      <c r="A174" s="23">
        <v>44267</v>
      </c>
      <c r="B174" s="22">
        <v>800.55</v>
      </c>
      <c r="D174">
        <f t="shared" si="4"/>
        <v>9.9028636306293782E-3</v>
      </c>
      <c r="F174" s="23">
        <v>44359</v>
      </c>
      <c r="G174" s="22">
        <v>16912.25</v>
      </c>
      <c r="H174">
        <f t="shared" si="5"/>
        <v>-1.6540964254769853E-2</v>
      </c>
    </row>
    <row r="175" spans="1:8" x14ac:dyDescent="0.45">
      <c r="A175" s="23">
        <v>44359</v>
      </c>
      <c r="B175" s="22">
        <v>796.65</v>
      </c>
      <c r="D175">
        <f t="shared" si="4"/>
        <v>-4.8716507401161419E-3</v>
      </c>
      <c r="F175" s="23">
        <v>44389</v>
      </c>
      <c r="G175" s="22">
        <v>17176.7</v>
      </c>
      <c r="H175">
        <f t="shared" si="5"/>
        <v>1.5636594775976037E-2</v>
      </c>
    </row>
    <row r="176" spans="1:8" x14ac:dyDescent="0.45">
      <c r="A176" s="23">
        <v>44389</v>
      </c>
      <c r="B176" s="22">
        <v>819.5</v>
      </c>
      <c r="D176">
        <f t="shared" si="4"/>
        <v>2.868260842277038E-2</v>
      </c>
      <c r="F176" s="23">
        <v>44420</v>
      </c>
      <c r="G176" s="22">
        <v>17469.75</v>
      </c>
      <c r="H176">
        <f t="shared" si="5"/>
        <v>1.7060902268771026E-2</v>
      </c>
    </row>
    <row r="177" spans="1:8" x14ac:dyDescent="0.45">
      <c r="A177" s="23">
        <v>44420</v>
      </c>
      <c r="B177" s="22">
        <v>839.3</v>
      </c>
      <c r="D177">
        <f t="shared" si="4"/>
        <v>2.4161073825503299E-2</v>
      </c>
      <c r="F177" s="23">
        <v>44451</v>
      </c>
      <c r="G177" s="22">
        <v>17516.849999999999</v>
      </c>
      <c r="H177">
        <f t="shared" si="5"/>
        <v>2.6960889537628496E-3</v>
      </c>
    </row>
    <row r="178" spans="1:8" x14ac:dyDescent="0.45">
      <c r="A178" s="23">
        <v>44451</v>
      </c>
      <c r="B178" s="22">
        <v>822.55</v>
      </c>
      <c r="D178">
        <f t="shared" si="4"/>
        <v>-1.9957107113070416E-2</v>
      </c>
      <c r="F178" s="23">
        <v>44481</v>
      </c>
      <c r="G178" s="22">
        <v>17511.3</v>
      </c>
      <c r="H178">
        <f t="shared" si="5"/>
        <v>-3.168377876158826E-4</v>
      </c>
    </row>
    <row r="179" spans="1:8" x14ac:dyDescent="0.45">
      <c r="A179" s="23">
        <v>44481</v>
      </c>
      <c r="B179" s="22">
        <v>823.05</v>
      </c>
      <c r="D179">
        <f t="shared" si="4"/>
        <v>6.0786578323506174E-4</v>
      </c>
      <c r="F179" s="21" t="s">
        <v>352</v>
      </c>
      <c r="G179" s="22">
        <v>17368.25</v>
      </c>
      <c r="H179">
        <f t="shared" si="5"/>
        <v>-8.1690108672685217E-3</v>
      </c>
    </row>
    <row r="180" spans="1:8" x14ac:dyDescent="0.45">
      <c r="A180" s="21" t="s">
        <v>352</v>
      </c>
      <c r="B180" s="22">
        <v>831.5</v>
      </c>
      <c r="D180">
        <f t="shared" si="4"/>
        <v>1.0266690966526998E-2</v>
      </c>
      <c r="F180" s="21" t="s">
        <v>353</v>
      </c>
      <c r="G180" s="22">
        <v>17324.900000000001</v>
      </c>
      <c r="H180">
        <f t="shared" si="5"/>
        <v>-2.4959336720739595E-3</v>
      </c>
    </row>
    <row r="181" spans="1:8" x14ac:dyDescent="0.45">
      <c r="A181" s="21" t="s">
        <v>353</v>
      </c>
      <c r="B181" s="22">
        <v>841.6</v>
      </c>
      <c r="D181">
        <f t="shared" si="4"/>
        <v>1.2146722790138332E-2</v>
      </c>
      <c r="F181" s="21" t="s">
        <v>354</v>
      </c>
      <c r="G181" s="22">
        <v>17221.400000000001</v>
      </c>
      <c r="H181">
        <f t="shared" si="5"/>
        <v>-5.9740604563374095E-3</v>
      </c>
    </row>
    <row r="182" spans="1:8" x14ac:dyDescent="0.45">
      <c r="A182" s="21" t="s">
        <v>354</v>
      </c>
      <c r="B182" s="22">
        <v>839.45</v>
      </c>
      <c r="D182">
        <f t="shared" si="4"/>
        <v>-2.5546577946767789E-3</v>
      </c>
      <c r="F182" s="21" t="s">
        <v>355</v>
      </c>
      <c r="G182" s="22">
        <v>17248.400000000001</v>
      </c>
      <c r="H182">
        <f t="shared" si="5"/>
        <v>1.5678167860917231E-3</v>
      </c>
    </row>
    <row r="183" spans="1:8" x14ac:dyDescent="0.45">
      <c r="A183" s="21" t="s">
        <v>355</v>
      </c>
      <c r="B183" s="22">
        <v>849.9</v>
      </c>
      <c r="D183">
        <f t="shared" si="4"/>
        <v>1.2448627077252881E-2</v>
      </c>
      <c r="F183" s="21" t="s">
        <v>356</v>
      </c>
      <c r="G183" s="22">
        <v>16985.2</v>
      </c>
      <c r="H183">
        <f t="shared" si="5"/>
        <v>-1.5259386377866974E-2</v>
      </c>
    </row>
    <row r="184" spans="1:8" x14ac:dyDescent="0.45">
      <c r="A184" s="21" t="s">
        <v>356</v>
      </c>
      <c r="B184" s="22">
        <v>843.4</v>
      </c>
      <c r="D184">
        <f t="shared" si="4"/>
        <v>-7.6479585833627486E-3</v>
      </c>
      <c r="F184" s="21" t="s">
        <v>357</v>
      </c>
      <c r="G184" s="22">
        <v>16614.2</v>
      </c>
      <c r="H184">
        <f t="shared" si="5"/>
        <v>-2.1842545274709746E-2</v>
      </c>
    </row>
    <row r="185" spans="1:8" x14ac:dyDescent="0.45">
      <c r="A185" s="21" t="s">
        <v>357</v>
      </c>
      <c r="B185" s="22">
        <v>830.25</v>
      </c>
      <c r="D185">
        <f t="shared" si="4"/>
        <v>-1.5591652833768056E-2</v>
      </c>
      <c r="F185" s="21" t="s">
        <v>358</v>
      </c>
      <c r="G185" s="22">
        <v>16770.849999999999</v>
      </c>
      <c r="H185">
        <f t="shared" si="5"/>
        <v>9.4286814893282736E-3</v>
      </c>
    </row>
    <row r="186" spans="1:8" x14ac:dyDescent="0.45">
      <c r="A186" s="21" t="s">
        <v>358</v>
      </c>
      <c r="B186" s="22">
        <v>849</v>
      </c>
      <c r="D186">
        <f t="shared" si="4"/>
        <v>2.2583559168925023E-2</v>
      </c>
      <c r="F186" s="21" t="s">
        <v>359</v>
      </c>
      <c r="G186" s="22">
        <v>16955.45</v>
      </c>
      <c r="H186">
        <f t="shared" si="5"/>
        <v>1.1007194030117864E-2</v>
      </c>
    </row>
    <row r="187" spans="1:8" x14ac:dyDescent="0.45">
      <c r="A187" s="21" t="s">
        <v>359</v>
      </c>
      <c r="B187" s="22">
        <v>869.1</v>
      </c>
      <c r="D187">
        <f t="shared" si="4"/>
        <v>2.3674911660777412E-2</v>
      </c>
      <c r="F187" s="21" t="s">
        <v>360</v>
      </c>
      <c r="G187" s="22">
        <v>17072.599999999999</v>
      </c>
      <c r="H187">
        <f t="shared" si="5"/>
        <v>6.9092828559547412E-3</v>
      </c>
    </row>
    <row r="188" spans="1:8" x14ac:dyDescent="0.45">
      <c r="A188" s="21" t="s">
        <v>360</v>
      </c>
      <c r="B188" s="22">
        <v>884.4</v>
      </c>
      <c r="D188">
        <f t="shared" si="4"/>
        <v>1.7604418363824592E-2</v>
      </c>
      <c r="F188" s="21" t="s">
        <v>361</v>
      </c>
      <c r="G188" s="22">
        <v>17003.75</v>
      </c>
      <c r="H188">
        <f t="shared" si="5"/>
        <v>-4.0327776671390736E-3</v>
      </c>
    </row>
    <row r="189" spans="1:8" x14ac:dyDescent="0.45">
      <c r="A189" s="21" t="s">
        <v>361</v>
      </c>
      <c r="B189" s="22">
        <v>904.95</v>
      </c>
      <c r="D189">
        <f t="shared" si="4"/>
        <v>2.323609226594309E-2</v>
      </c>
      <c r="F189" s="21" t="s">
        <v>362</v>
      </c>
      <c r="G189" s="22">
        <v>17086.25</v>
      </c>
      <c r="H189">
        <f t="shared" si="5"/>
        <v>4.8518709108284937E-3</v>
      </c>
    </row>
    <row r="190" spans="1:8" x14ac:dyDescent="0.45">
      <c r="A190" s="21" t="s">
        <v>362</v>
      </c>
      <c r="B190" s="22">
        <v>911.9</v>
      </c>
      <c r="D190">
        <f t="shared" si="4"/>
        <v>7.6799823194650882E-3</v>
      </c>
      <c r="F190" s="21" t="s">
        <v>363</v>
      </c>
      <c r="G190" s="22">
        <v>17233.25</v>
      </c>
      <c r="H190">
        <f t="shared" si="5"/>
        <v>8.6034091740434561E-3</v>
      </c>
    </row>
    <row r="191" spans="1:8" x14ac:dyDescent="0.45">
      <c r="A191" s="21" t="s">
        <v>363</v>
      </c>
      <c r="B191" s="22">
        <v>909.85</v>
      </c>
      <c r="D191">
        <f t="shared" si="4"/>
        <v>-2.2480535146397135E-3</v>
      </c>
      <c r="F191" s="21" t="s">
        <v>364</v>
      </c>
      <c r="G191" s="22">
        <v>17213.599999999999</v>
      </c>
      <c r="H191">
        <f t="shared" si="5"/>
        <v>-1.1402376220388758E-3</v>
      </c>
    </row>
    <row r="192" spans="1:8" x14ac:dyDescent="0.45">
      <c r="A192" s="21" t="s">
        <v>364</v>
      </c>
      <c r="B192" s="22">
        <v>906.95</v>
      </c>
      <c r="D192">
        <f t="shared" si="4"/>
        <v>-3.1873385722921109E-3</v>
      </c>
      <c r="F192" s="21" t="s">
        <v>365</v>
      </c>
      <c r="G192" s="22">
        <v>17203.95</v>
      </c>
      <c r="H192">
        <f t="shared" si="5"/>
        <v>-5.6060324394652012E-4</v>
      </c>
    </row>
    <row r="193" spans="1:8" x14ac:dyDescent="0.45">
      <c r="A193" s="21" t="s">
        <v>365</v>
      </c>
      <c r="B193" s="22">
        <v>955.7</v>
      </c>
      <c r="D193">
        <f t="shared" si="4"/>
        <v>5.3751584982634097E-2</v>
      </c>
      <c r="F193" s="21" t="s">
        <v>366</v>
      </c>
      <c r="G193" s="22">
        <v>17354.05</v>
      </c>
      <c r="H193">
        <f t="shared" si="5"/>
        <v>8.7247405392365442E-3</v>
      </c>
    </row>
    <row r="194" spans="1:8" x14ac:dyDescent="0.45">
      <c r="A194" s="21" t="s">
        <v>366</v>
      </c>
      <c r="B194" s="22">
        <v>990.75</v>
      </c>
      <c r="D194">
        <f t="shared" si="4"/>
        <v>3.6674688709846137E-2</v>
      </c>
      <c r="F194" s="23">
        <v>44621</v>
      </c>
      <c r="G194" s="22">
        <v>17625.7</v>
      </c>
      <c r="H194">
        <f t="shared" si="5"/>
        <v>1.5653406553513528E-2</v>
      </c>
    </row>
    <row r="195" spans="1:8" x14ac:dyDescent="0.45">
      <c r="A195" s="23">
        <v>44621</v>
      </c>
      <c r="B195" s="22">
        <v>1061.75</v>
      </c>
      <c r="D195">
        <f t="shared" si="4"/>
        <v>7.1662881655311636E-2</v>
      </c>
      <c r="F195" s="23">
        <v>44652</v>
      </c>
      <c r="G195" s="22">
        <v>17805.25</v>
      </c>
      <c r="H195">
        <f t="shared" si="5"/>
        <v>1.0186829459255477E-2</v>
      </c>
    </row>
    <row r="196" spans="1:8" x14ac:dyDescent="0.45">
      <c r="A196" s="23">
        <v>44652</v>
      </c>
      <c r="B196" s="22">
        <v>1035.05</v>
      </c>
      <c r="D196">
        <f t="shared" ref="D196:D259" si="6">(B196-B195)/B195</f>
        <v>-2.5147162703084574E-2</v>
      </c>
      <c r="F196" s="23">
        <v>44682</v>
      </c>
      <c r="G196" s="22">
        <v>17925.25</v>
      </c>
      <c r="H196">
        <f t="shared" si="5"/>
        <v>6.7395852346920151E-3</v>
      </c>
    </row>
    <row r="197" spans="1:8" x14ac:dyDescent="0.45">
      <c r="A197" s="23">
        <v>44682</v>
      </c>
      <c r="B197" s="22">
        <v>1034.05</v>
      </c>
      <c r="D197">
        <f t="shared" si="6"/>
        <v>-9.6613690159895666E-4</v>
      </c>
      <c r="F197" s="23">
        <v>44713</v>
      </c>
      <c r="G197" s="22">
        <v>17745.900000000001</v>
      </c>
      <c r="H197">
        <f t="shared" ref="H197:H260" si="7">(G197-G196)/G196</f>
        <v>-1.0005439254682559E-2</v>
      </c>
    </row>
    <row r="198" spans="1:8" x14ac:dyDescent="0.45">
      <c r="A198" s="23">
        <v>44713</v>
      </c>
      <c r="B198" s="22">
        <v>1022.2</v>
      </c>
      <c r="D198">
        <f t="shared" si="6"/>
        <v>-1.1459794013829031E-2</v>
      </c>
      <c r="F198" s="23">
        <v>44743</v>
      </c>
      <c r="G198" s="22">
        <v>17812.7</v>
      </c>
      <c r="H198">
        <f t="shared" si="7"/>
        <v>3.7642497703694526E-3</v>
      </c>
    </row>
    <row r="199" spans="1:8" x14ac:dyDescent="0.45">
      <c r="A199" s="23">
        <v>44743</v>
      </c>
      <c r="B199" s="22">
        <v>1025.75</v>
      </c>
      <c r="D199">
        <f t="shared" si="6"/>
        <v>3.4729015848170165E-3</v>
      </c>
      <c r="F199" s="23">
        <v>44835</v>
      </c>
      <c r="G199" s="22">
        <v>18003.3</v>
      </c>
      <c r="H199">
        <f t="shared" si="7"/>
        <v>1.0700230734251323E-2</v>
      </c>
    </row>
    <row r="200" spans="1:8" x14ac:dyDescent="0.45">
      <c r="A200" s="23">
        <v>44835</v>
      </c>
      <c r="B200" s="22">
        <v>1035.7</v>
      </c>
      <c r="D200">
        <f t="shared" si="6"/>
        <v>9.700219351693927E-3</v>
      </c>
      <c r="F200" s="23">
        <v>44866</v>
      </c>
      <c r="G200" s="22">
        <v>18055.75</v>
      </c>
      <c r="H200">
        <f t="shared" si="7"/>
        <v>2.9133547738470576E-3</v>
      </c>
    </row>
    <row r="201" spans="1:8" x14ac:dyDescent="0.45">
      <c r="A201" s="23">
        <v>44866</v>
      </c>
      <c r="B201" s="22">
        <v>1050.4000000000001</v>
      </c>
      <c r="D201">
        <f t="shared" si="6"/>
        <v>1.4193299217920291E-2</v>
      </c>
      <c r="F201" s="23">
        <v>44896</v>
      </c>
      <c r="G201" s="22">
        <v>18212.349999999999</v>
      </c>
      <c r="H201">
        <f t="shared" si="7"/>
        <v>8.6731373662128994E-3</v>
      </c>
    </row>
    <row r="202" spans="1:8" x14ac:dyDescent="0.45">
      <c r="A202" s="23">
        <v>44896</v>
      </c>
      <c r="B202" s="22">
        <v>1053.55</v>
      </c>
      <c r="D202">
        <f t="shared" si="6"/>
        <v>2.9988575780653687E-3</v>
      </c>
      <c r="F202" s="21" t="s">
        <v>367</v>
      </c>
      <c r="G202" s="22">
        <v>18257.8</v>
      </c>
      <c r="H202">
        <f t="shared" si="7"/>
        <v>2.4955593319917931E-3</v>
      </c>
    </row>
    <row r="203" spans="1:8" x14ac:dyDescent="0.45">
      <c r="A203" s="21" t="s">
        <v>367</v>
      </c>
      <c r="B203" s="22">
        <v>1022.95</v>
      </c>
      <c r="D203">
        <f t="shared" si="6"/>
        <v>-2.9044658535427755E-2</v>
      </c>
      <c r="F203" s="21" t="s">
        <v>368</v>
      </c>
      <c r="G203" s="22">
        <v>18255.75</v>
      </c>
      <c r="H203">
        <f t="shared" si="7"/>
        <v>-1.1228077862608159E-4</v>
      </c>
    </row>
    <row r="204" spans="1:8" x14ac:dyDescent="0.45">
      <c r="A204" s="21" t="s">
        <v>368</v>
      </c>
      <c r="B204" s="22">
        <v>1019.35</v>
      </c>
      <c r="D204">
        <f t="shared" si="6"/>
        <v>-3.5192335891295005E-3</v>
      </c>
      <c r="F204" s="21" t="s">
        <v>369</v>
      </c>
      <c r="G204" s="22">
        <v>18308.099999999999</v>
      </c>
      <c r="H204">
        <f t="shared" si="7"/>
        <v>2.8675896635305888E-3</v>
      </c>
    </row>
    <row r="205" spans="1:8" x14ac:dyDescent="0.45">
      <c r="A205" s="21" t="s">
        <v>369</v>
      </c>
      <c r="B205" s="22">
        <v>1050.5999999999999</v>
      </c>
      <c r="D205">
        <f t="shared" si="6"/>
        <v>3.0656791092362669E-2</v>
      </c>
      <c r="F205" s="21" t="s">
        <v>370</v>
      </c>
      <c r="G205" s="22">
        <v>18113.05</v>
      </c>
      <c r="H205">
        <f t="shared" si="7"/>
        <v>-1.0653754349167816E-2</v>
      </c>
    </row>
    <row r="206" spans="1:8" x14ac:dyDescent="0.45">
      <c r="A206" s="21" t="s">
        <v>370</v>
      </c>
      <c r="B206" s="22">
        <v>1014.65</v>
      </c>
      <c r="D206">
        <f t="shared" si="6"/>
        <v>-3.4218541785646234E-2</v>
      </c>
      <c r="F206" s="21" t="s">
        <v>371</v>
      </c>
      <c r="G206" s="22">
        <v>17938.400000000001</v>
      </c>
      <c r="H206">
        <f t="shared" si="7"/>
        <v>-9.6422192838863593E-3</v>
      </c>
    </row>
    <row r="207" spans="1:8" x14ac:dyDescent="0.45">
      <c r="A207" s="21" t="s">
        <v>371</v>
      </c>
      <c r="B207" s="22">
        <v>1026.25</v>
      </c>
      <c r="D207">
        <f t="shared" si="6"/>
        <v>1.1432513674666163E-2</v>
      </c>
      <c r="F207" s="21" t="s">
        <v>372</v>
      </c>
      <c r="G207" s="22">
        <v>17757</v>
      </c>
      <c r="H207">
        <f t="shared" si="7"/>
        <v>-1.0112384605093064E-2</v>
      </c>
    </row>
    <row r="208" spans="1:8" x14ac:dyDescent="0.45">
      <c r="A208" s="21" t="s">
        <v>372</v>
      </c>
      <c r="B208" s="22">
        <v>1014.95</v>
      </c>
      <c r="D208">
        <f t="shared" si="6"/>
        <v>-1.1010962241169261E-2</v>
      </c>
      <c r="F208" s="21" t="s">
        <v>373</v>
      </c>
      <c r="G208" s="22">
        <v>17617.150000000001</v>
      </c>
      <c r="H208">
        <f t="shared" si="7"/>
        <v>-7.8757673030353404E-3</v>
      </c>
    </row>
    <row r="209" spans="1:8" x14ac:dyDescent="0.45">
      <c r="A209" s="21" t="s">
        <v>373</v>
      </c>
      <c r="B209" s="22">
        <v>1003.95</v>
      </c>
      <c r="D209">
        <f t="shared" si="6"/>
        <v>-1.0837972313907089E-2</v>
      </c>
      <c r="F209" s="21" t="s">
        <v>374</v>
      </c>
      <c r="G209" s="22">
        <v>17149.099999999999</v>
      </c>
      <c r="H209">
        <f t="shared" si="7"/>
        <v>-2.6567861430481256E-2</v>
      </c>
    </row>
    <row r="210" spans="1:8" x14ac:dyDescent="0.45">
      <c r="A210" s="21" t="s">
        <v>374</v>
      </c>
      <c r="B210" s="22">
        <v>974</v>
      </c>
      <c r="D210">
        <f t="shared" si="6"/>
        <v>-2.9832162956322569E-2</v>
      </c>
      <c r="F210" s="21" t="s">
        <v>375</v>
      </c>
      <c r="G210" s="22">
        <v>17277.95</v>
      </c>
      <c r="H210">
        <f t="shared" si="7"/>
        <v>7.5135138287141714E-3</v>
      </c>
    </row>
    <row r="211" spans="1:8" x14ac:dyDescent="0.45">
      <c r="A211" s="21" t="s">
        <v>375</v>
      </c>
      <c r="B211" s="22">
        <v>1020.3</v>
      </c>
      <c r="D211">
        <f t="shared" si="6"/>
        <v>4.753593429158106E-2</v>
      </c>
      <c r="F211" s="21" t="s">
        <v>376</v>
      </c>
      <c r="G211" s="22">
        <v>17110.150000000001</v>
      </c>
      <c r="H211">
        <f t="shared" si="7"/>
        <v>-9.7118003003828154E-3</v>
      </c>
    </row>
    <row r="212" spans="1:8" x14ac:dyDescent="0.45">
      <c r="A212" s="21" t="s">
        <v>376</v>
      </c>
      <c r="B212" s="22">
        <v>985</v>
      </c>
      <c r="D212">
        <f t="shared" si="6"/>
        <v>-3.459766735273935E-2</v>
      </c>
      <c r="F212" s="21" t="s">
        <v>377</v>
      </c>
      <c r="G212" s="22">
        <v>17101.95</v>
      </c>
      <c r="H212">
        <f t="shared" si="7"/>
        <v>-4.7924769800385895E-4</v>
      </c>
    </row>
    <row r="213" spans="1:8" x14ac:dyDescent="0.45">
      <c r="A213" s="21" t="s">
        <v>377</v>
      </c>
      <c r="B213" s="22">
        <v>977.1</v>
      </c>
      <c r="D213">
        <f t="shared" si="6"/>
        <v>-8.0203045685278956E-3</v>
      </c>
      <c r="F213" s="21" t="s">
        <v>378</v>
      </c>
      <c r="G213" s="22">
        <v>17339.849999999999</v>
      </c>
      <c r="H213">
        <f t="shared" si="7"/>
        <v>1.3910694394498744E-2</v>
      </c>
    </row>
    <row r="214" spans="1:8" x14ac:dyDescent="0.45">
      <c r="A214" s="21" t="s">
        <v>378</v>
      </c>
      <c r="B214" s="22">
        <v>963.5</v>
      </c>
      <c r="D214">
        <f t="shared" si="6"/>
        <v>-1.3918739125985081E-2</v>
      </c>
      <c r="F214" s="23">
        <v>44563</v>
      </c>
      <c r="G214" s="22">
        <v>17576.849999999999</v>
      </c>
      <c r="H214">
        <f t="shared" si="7"/>
        <v>1.3667938303964568E-2</v>
      </c>
    </row>
    <row r="215" spans="1:8" x14ac:dyDescent="0.45">
      <c r="A215" s="23">
        <v>44563</v>
      </c>
      <c r="B215" s="22">
        <v>1007.95</v>
      </c>
      <c r="D215">
        <f t="shared" si="6"/>
        <v>4.6133886870783646E-2</v>
      </c>
      <c r="F215" s="23">
        <v>44594</v>
      </c>
      <c r="G215" s="22">
        <v>17780</v>
      </c>
      <c r="H215">
        <f t="shared" si="7"/>
        <v>1.1557816104705989E-2</v>
      </c>
    </row>
    <row r="216" spans="1:8" x14ac:dyDescent="0.45">
      <c r="A216" s="23">
        <v>44594</v>
      </c>
      <c r="B216" s="22">
        <v>1051.55</v>
      </c>
      <c r="D216">
        <f t="shared" si="6"/>
        <v>4.3256113894538324E-2</v>
      </c>
      <c r="F216" s="23">
        <v>44622</v>
      </c>
      <c r="G216" s="22">
        <v>17560.2</v>
      </c>
      <c r="H216">
        <f t="shared" si="7"/>
        <v>-1.2362204724409407E-2</v>
      </c>
    </row>
    <row r="217" spans="1:8" x14ac:dyDescent="0.45">
      <c r="A217" s="23">
        <v>44622</v>
      </c>
      <c r="B217" s="22">
        <v>1032.4000000000001</v>
      </c>
      <c r="D217">
        <f t="shared" si="6"/>
        <v>-1.8211212020350781E-2</v>
      </c>
      <c r="F217" s="23">
        <v>44653</v>
      </c>
      <c r="G217" s="22">
        <v>17516.3</v>
      </c>
      <c r="H217">
        <f t="shared" si="7"/>
        <v>-2.4999715265202819E-3</v>
      </c>
    </row>
    <row r="218" spans="1:8" x14ac:dyDescent="0.45">
      <c r="A218" s="23">
        <v>44653</v>
      </c>
      <c r="B218" s="22">
        <v>1022.8</v>
      </c>
      <c r="D218">
        <f t="shared" si="6"/>
        <v>-9.2987214258040841E-3</v>
      </c>
      <c r="F218" s="23">
        <v>44744</v>
      </c>
      <c r="G218" s="22">
        <v>17213.599999999999</v>
      </c>
      <c r="H218">
        <f t="shared" si="7"/>
        <v>-1.7281046796412527E-2</v>
      </c>
    </row>
    <row r="219" spans="1:8" x14ac:dyDescent="0.45">
      <c r="A219" s="23">
        <v>44744</v>
      </c>
      <c r="B219" s="22">
        <v>1008.35</v>
      </c>
      <c r="D219">
        <f t="shared" si="6"/>
        <v>-1.4127884239342914E-2</v>
      </c>
      <c r="F219" s="23">
        <v>44775</v>
      </c>
      <c r="G219" s="22">
        <v>17266.75</v>
      </c>
      <c r="H219">
        <f t="shared" si="7"/>
        <v>3.0876748617373159E-3</v>
      </c>
    </row>
    <row r="220" spans="1:8" x14ac:dyDescent="0.45">
      <c r="A220" s="23">
        <v>44775</v>
      </c>
      <c r="B220" s="22">
        <v>997.35</v>
      </c>
      <c r="D220">
        <f t="shared" si="6"/>
        <v>-1.0908910596519066E-2</v>
      </c>
      <c r="F220" s="23">
        <v>44806</v>
      </c>
      <c r="G220" s="22">
        <v>17463.8</v>
      </c>
      <c r="H220">
        <f t="shared" si="7"/>
        <v>1.1412107084425227E-2</v>
      </c>
    </row>
    <row r="221" spans="1:8" x14ac:dyDescent="0.45">
      <c r="A221" s="23">
        <v>44806</v>
      </c>
      <c r="B221" s="22">
        <v>988.45</v>
      </c>
      <c r="D221">
        <f t="shared" si="6"/>
        <v>-8.9236476663157142E-3</v>
      </c>
      <c r="F221" s="23">
        <v>44836</v>
      </c>
      <c r="G221" s="22">
        <v>17605.849999999999</v>
      </c>
      <c r="H221">
        <f t="shared" si="7"/>
        <v>8.1339685520905695E-3</v>
      </c>
    </row>
    <row r="222" spans="1:8" x14ac:dyDescent="0.45">
      <c r="A222" s="23">
        <v>44836</v>
      </c>
      <c r="B222" s="22">
        <v>985.1</v>
      </c>
      <c r="D222">
        <f t="shared" si="6"/>
        <v>-3.3891446203652411E-3</v>
      </c>
      <c r="F222" s="23">
        <v>44867</v>
      </c>
      <c r="G222" s="22">
        <v>17374.75</v>
      </c>
      <c r="H222">
        <f t="shared" si="7"/>
        <v>-1.3126318808804946E-2</v>
      </c>
    </row>
    <row r="223" spans="1:8" x14ac:dyDescent="0.45">
      <c r="A223" s="23">
        <v>44867</v>
      </c>
      <c r="B223" s="22">
        <v>970.75</v>
      </c>
      <c r="D223">
        <f t="shared" si="6"/>
        <v>-1.4567049030555296E-2</v>
      </c>
      <c r="F223" s="21" t="s">
        <v>379</v>
      </c>
      <c r="G223" s="22">
        <v>16842.8</v>
      </c>
      <c r="H223">
        <f t="shared" si="7"/>
        <v>-3.0616267859969251E-2</v>
      </c>
    </row>
    <row r="224" spans="1:8" x14ac:dyDescent="0.45">
      <c r="A224" s="21" t="s">
        <v>379</v>
      </c>
      <c r="B224" s="22">
        <v>922.55</v>
      </c>
      <c r="D224">
        <f t="shared" si="6"/>
        <v>-4.9652330672160745E-2</v>
      </c>
      <c r="F224" s="21" t="s">
        <v>380</v>
      </c>
      <c r="G224" s="22">
        <v>17352.45</v>
      </c>
      <c r="H224">
        <f t="shared" si="7"/>
        <v>3.0259220557152106E-2</v>
      </c>
    </row>
    <row r="225" spans="1:8" x14ac:dyDescent="0.45">
      <c r="A225" s="21" t="s">
        <v>380</v>
      </c>
      <c r="B225" s="22">
        <v>914.9</v>
      </c>
      <c r="D225">
        <f t="shared" si="6"/>
        <v>-8.2922334832800145E-3</v>
      </c>
      <c r="F225" s="21" t="s">
        <v>381</v>
      </c>
      <c r="G225" s="22">
        <v>17322.2</v>
      </c>
      <c r="H225">
        <f t="shared" si="7"/>
        <v>-1.7432696823791451E-3</v>
      </c>
    </row>
    <row r="226" spans="1:8" x14ac:dyDescent="0.45">
      <c r="A226" s="21" t="s">
        <v>381</v>
      </c>
      <c r="B226" s="22">
        <v>921</v>
      </c>
      <c r="D226">
        <f t="shared" si="6"/>
        <v>6.6673953437534411E-3</v>
      </c>
      <c r="F226" s="21" t="s">
        <v>382</v>
      </c>
      <c r="G226" s="22">
        <v>17304.599999999999</v>
      </c>
      <c r="H226">
        <f t="shared" si="7"/>
        <v>-1.0160372239093292E-3</v>
      </c>
    </row>
    <row r="227" spans="1:8" x14ac:dyDescent="0.45">
      <c r="A227" s="21" t="s">
        <v>382</v>
      </c>
      <c r="B227" s="22">
        <v>919.1</v>
      </c>
      <c r="D227">
        <f t="shared" si="6"/>
        <v>-2.0629750271443834E-3</v>
      </c>
      <c r="F227" s="21" t="s">
        <v>383</v>
      </c>
      <c r="G227" s="22">
        <v>17276.3</v>
      </c>
      <c r="H227">
        <f t="shared" si="7"/>
        <v>-1.6354033031679019E-3</v>
      </c>
    </row>
    <row r="228" spans="1:8" x14ac:dyDescent="0.45">
      <c r="A228" s="21" t="s">
        <v>383</v>
      </c>
      <c r="B228" s="22">
        <v>916.35</v>
      </c>
      <c r="D228">
        <f t="shared" si="6"/>
        <v>-2.9920574475029919E-3</v>
      </c>
      <c r="F228" s="21" t="s">
        <v>384</v>
      </c>
      <c r="G228" s="22">
        <v>17206.650000000001</v>
      </c>
      <c r="H228">
        <f t="shared" si="7"/>
        <v>-4.0315345299628868E-3</v>
      </c>
    </row>
    <row r="229" spans="1:8" x14ac:dyDescent="0.45">
      <c r="A229" s="21" t="s">
        <v>384</v>
      </c>
      <c r="B229" s="22">
        <v>872.15</v>
      </c>
      <c r="D229">
        <f t="shared" si="6"/>
        <v>-4.8234844764555078E-2</v>
      </c>
      <c r="F229" s="21" t="s">
        <v>385</v>
      </c>
      <c r="G229" s="22">
        <v>17092.2</v>
      </c>
      <c r="H229">
        <f t="shared" si="7"/>
        <v>-6.6514981126483495E-3</v>
      </c>
    </row>
    <row r="230" spans="1:8" x14ac:dyDescent="0.45">
      <c r="A230" s="21" t="s">
        <v>385</v>
      </c>
      <c r="B230" s="22">
        <v>855</v>
      </c>
      <c r="D230">
        <f t="shared" si="6"/>
        <v>-1.9664048615490429E-2</v>
      </c>
      <c r="F230" s="21" t="s">
        <v>386</v>
      </c>
      <c r="G230" s="22">
        <v>17063.25</v>
      </c>
      <c r="H230">
        <f t="shared" si="7"/>
        <v>-1.6937550461614494E-3</v>
      </c>
    </row>
    <row r="231" spans="1:8" x14ac:dyDescent="0.45">
      <c r="A231" s="21" t="s">
        <v>386</v>
      </c>
      <c r="B231" s="22">
        <v>864.3</v>
      </c>
      <c r="D231">
        <f t="shared" si="6"/>
        <v>1.0877192982456088E-2</v>
      </c>
      <c r="F231" s="21" t="s">
        <v>387</v>
      </c>
      <c r="G231" s="22">
        <v>16247.95</v>
      </c>
      <c r="H231">
        <f t="shared" si="7"/>
        <v>-4.7781049917219716E-2</v>
      </c>
    </row>
    <row r="232" spans="1:8" x14ac:dyDescent="0.45">
      <c r="A232" s="21" t="s">
        <v>387</v>
      </c>
      <c r="B232" s="22">
        <v>824.65</v>
      </c>
      <c r="D232">
        <f t="shared" si="6"/>
        <v>-4.587527478884644E-2</v>
      </c>
      <c r="F232" s="21" t="s">
        <v>388</v>
      </c>
      <c r="G232" s="22">
        <v>16658.400000000001</v>
      </c>
      <c r="H232">
        <f t="shared" si="7"/>
        <v>2.5261648392566491E-2</v>
      </c>
    </row>
    <row r="233" spans="1:8" x14ac:dyDescent="0.45">
      <c r="A233" s="21" t="s">
        <v>388</v>
      </c>
      <c r="B233" s="22">
        <v>860.9</v>
      </c>
      <c r="D233">
        <f t="shared" si="6"/>
        <v>4.3958042806038926E-2</v>
      </c>
      <c r="F233" s="21" t="s">
        <v>389</v>
      </c>
      <c r="G233" s="22">
        <v>16793.900000000001</v>
      </c>
      <c r="H233">
        <f t="shared" si="7"/>
        <v>8.1340344811026265E-3</v>
      </c>
    </row>
    <row r="234" spans="1:8" x14ac:dyDescent="0.45">
      <c r="A234" s="21" t="s">
        <v>389</v>
      </c>
      <c r="B234" s="22">
        <v>837.05</v>
      </c>
      <c r="D234">
        <f t="shared" si="6"/>
        <v>-2.7703566035544226E-2</v>
      </c>
      <c r="F234" s="23">
        <v>44595</v>
      </c>
      <c r="G234" s="22">
        <v>16605.95</v>
      </c>
      <c r="H234">
        <f t="shared" si="7"/>
        <v>-1.1191563603451296E-2</v>
      </c>
    </row>
    <row r="235" spans="1:8" x14ac:dyDescent="0.45">
      <c r="A235" s="23">
        <v>44595</v>
      </c>
      <c r="B235" s="22">
        <v>828.95</v>
      </c>
      <c r="D235">
        <f t="shared" si="6"/>
        <v>-9.6768412878560535E-3</v>
      </c>
      <c r="F235" s="23">
        <v>44623</v>
      </c>
      <c r="G235" s="22">
        <v>16498.05</v>
      </c>
      <c r="H235">
        <f t="shared" si="7"/>
        <v>-6.4976710155095884E-3</v>
      </c>
    </row>
    <row r="236" spans="1:8" x14ac:dyDescent="0.45">
      <c r="A236" s="23">
        <v>44623</v>
      </c>
      <c r="B236" s="22">
        <v>837.2</v>
      </c>
      <c r="D236">
        <f t="shared" si="6"/>
        <v>9.9523493576210865E-3</v>
      </c>
      <c r="F236" s="23">
        <v>44654</v>
      </c>
      <c r="G236" s="22">
        <v>16245.35</v>
      </c>
      <c r="H236">
        <f t="shared" si="7"/>
        <v>-1.5316961701534359E-2</v>
      </c>
    </row>
    <row r="237" spans="1:8" x14ac:dyDescent="0.45">
      <c r="A237" s="23">
        <v>44654</v>
      </c>
      <c r="B237" s="22">
        <v>801.85</v>
      </c>
      <c r="D237">
        <f t="shared" si="6"/>
        <v>-4.2224080267558556E-2</v>
      </c>
      <c r="F237" s="23">
        <v>44745</v>
      </c>
      <c r="G237" s="22">
        <v>15863.15</v>
      </c>
      <c r="H237">
        <f t="shared" si="7"/>
        <v>-2.3526732264925083E-2</v>
      </c>
    </row>
    <row r="238" spans="1:8" x14ac:dyDescent="0.45">
      <c r="A238" s="23">
        <v>44745</v>
      </c>
      <c r="B238" s="22">
        <v>781.75</v>
      </c>
      <c r="D238">
        <f t="shared" si="6"/>
        <v>-2.5067032487372978E-2</v>
      </c>
      <c r="F238" s="23">
        <v>44776</v>
      </c>
      <c r="G238" s="22">
        <v>16013.45</v>
      </c>
      <c r="H238">
        <f t="shared" si="7"/>
        <v>9.4747890551372897E-3</v>
      </c>
    </row>
    <row r="239" spans="1:8" x14ac:dyDescent="0.45">
      <c r="A239" s="23">
        <v>44776</v>
      </c>
      <c r="B239" s="22">
        <v>787.8</v>
      </c>
      <c r="D239">
        <f t="shared" si="6"/>
        <v>7.7390470099135975E-3</v>
      </c>
      <c r="F239" s="23">
        <v>44807</v>
      </c>
      <c r="G239" s="22">
        <v>16345.35</v>
      </c>
      <c r="H239">
        <f t="shared" si="7"/>
        <v>2.0726326931423247E-2</v>
      </c>
    </row>
    <row r="240" spans="1:8" x14ac:dyDescent="0.45">
      <c r="A240" s="23">
        <v>44807</v>
      </c>
      <c r="B240" s="22">
        <v>882.25</v>
      </c>
      <c r="D240">
        <f t="shared" si="6"/>
        <v>0.11989083523736996</v>
      </c>
      <c r="F240" s="23">
        <v>44837</v>
      </c>
      <c r="G240" s="22">
        <v>16594.900000000001</v>
      </c>
      <c r="H240">
        <f t="shared" si="7"/>
        <v>1.5267339029142912E-2</v>
      </c>
    </row>
    <row r="241" spans="1:8" x14ac:dyDescent="0.45">
      <c r="A241" s="23">
        <v>44837</v>
      </c>
      <c r="B241" s="22">
        <v>881.95</v>
      </c>
      <c r="D241">
        <f t="shared" si="6"/>
        <v>-3.4003967129493288E-4</v>
      </c>
      <c r="F241" s="23">
        <v>44868</v>
      </c>
      <c r="G241" s="22">
        <v>16630.45</v>
      </c>
      <c r="H241">
        <f t="shared" si="7"/>
        <v>2.1422244183453513E-3</v>
      </c>
    </row>
    <row r="242" spans="1:8" x14ac:dyDescent="0.45">
      <c r="A242" s="23">
        <v>44868</v>
      </c>
      <c r="B242" s="22">
        <v>869</v>
      </c>
      <c r="D242">
        <f t="shared" si="6"/>
        <v>-1.4683372073246834E-2</v>
      </c>
      <c r="F242" s="21" t="s">
        <v>390</v>
      </c>
      <c r="G242" s="22">
        <v>16871.3</v>
      </c>
      <c r="H242">
        <f t="shared" si="7"/>
        <v>1.4482470408196923E-2</v>
      </c>
    </row>
    <row r="243" spans="1:8" x14ac:dyDescent="0.45">
      <c r="A243" s="21" t="s">
        <v>390</v>
      </c>
      <c r="B243" s="22">
        <v>856.7</v>
      </c>
      <c r="D243">
        <f t="shared" si="6"/>
        <v>-1.4154200230149546E-2</v>
      </c>
      <c r="F243" s="21" t="s">
        <v>391</v>
      </c>
      <c r="G243" s="22">
        <v>16663</v>
      </c>
      <c r="H243">
        <f t="shared" si="7"/>
        <v>-1.2346410768583291E-2</v>
      </c>
    </row>
    <row r="244" spans="1:8" x14ac:dyDescent="0.45">
      <c r="A244" s="21" t="s">
        <v>391</v>
      </c>
      <c r="B244" s="22">
        <v>908.9</v>
      </c>
      <c r="D244">
        <f t="shared" si="6"/>
        <v>6.0931481265320331E-2</v>
      </c>
      <c r="F244" s="21" t="s">
        <v>392</v>
      </c>
      <c r="G244" s="22">
        <v>16975.349999999999</v>
      </c>
      <c r="H244">
        <f t="shared" si="7"/>
        <v>1.874512392726391E-2</v>
      </c>
    </row>
    <row r="245" spans="1:8" x14ac:dyDescent="0.45">
      <c r="A245" s="21" t="s">
        <v>392</v>
      </c>
      <c r="B245" s="22">
        <v>886.25</v>
      </c>
      <c r="D245">
        <f t="shared" si="6"/>
        <v>-2.4920233248982262E-2</v>
      </c>
      <c r="F245" s="21" t="s">
        <v>393</v>
      </c>
      <c r="G245" s="22">
        <v>17287.05</v>
      </c>
      <c r="H245">
        <f t="shared" si="7"/>
        <v>1.836191890005218E-2</v>
      </c>
    </row>
    <row r="246" spans="1:8" x14ac:dyDescent="0.45">
      <c r="A246" s="21" t="s">
        <v>393</v>
      </c>
      <c r="B246" s="22">
        <v>882.25</v>
      </c>
      <c r="D246">
        <f t="shared" si="6"/>
        <v>-4.5133991537376584E-3</v>
      </c>
      <c r="F246" s="21" t="s">
        <v>394</v>
      </c>
      <c r="G246" s="22">
        <v>17117.599999999999</v>
      </c>
      <c r="H246">
        <f t="shared" si="7"/>
        <v>-9.8021351242693656E-3</v>
      </c>
    </row>
    <row r="247" spans="1:8" x14ac:dyDescent="0.45">
      <c r="A247" s="21" t="s">
        <v>394</v>
      </c>
      <c r="B247" s="22">
        <v>880.65</v>
      </c>
      <c r="D247">
        <f t="shared" si="6"/>
        <v>-1.8135449135732759E-3</v>
      </c>
      <c r="F247" s="21" t="s">
        <v>395</v>
      </c>
      <c r="G247" s="22">
        <v>17315.5</v>
      </c>
      <c r="H247">
        <f t="shared" si="7"/>
        <v>1.1561200168247972E-2</v>
      </c>
    </row>
    <row r="248" spans="1:8" x14ac:dyDescent="0.45">
      <c r="A248" s="21" t="s">
        <v>395</v>
      </c>
      <c r="B248" s="22">
        <v>864.45</v>
      </c>
      <c r="D248">
        <f t="shared" si="6"/>
        <v>-1.8395503321410246E-2</v>
      </c>
      <c r="F248" s="21" t="s">
        <v>396</v>
      </c>
      <c r="G248" s="22">
        <v>17245.650000000001</v>
      </c>
      <c r="H248">
        <f t="shared" si="7"/>
        <v>-4.033958014495599E-3</v>
      </c>
    </row>
    <row r="249" spans="1:8" x14ac:dyDescent="0.45">
      <c r="A249" s="21" t="s">
        <v>396</v>
      </c>
      <c r="B249" s="22">
        <v>880.4</v>
      </c>
      <c r="D249">
        <f t="shared" si="6"/>
        <v>1.8451038232402024E-2</v>
      </c>
      <c r="F249" s="21" t="s">
        <v>397</v>
      </c>
      <c r="G249" s="22">
        <v>17222.75</v>
      </c>
      <c r="H249">
        <f t="shared" si="7"/>
        <v>-1.3278710863319999E-3</v>
      </c>
    </row>
    <row r="250" spans="1:8" x14ac:dyDescent="0.45">
      <c r="A250" s="21" t="s">
        <v>397</v>
      </c>
      <c r="B250" s="22">
        <v>864.45</v>
      </c>
      <c r="D250">
        <f t="shared" si="6"/>
        <v>-1.8116765106769572E-2</v>
      </c>
      <c r="F250" s="21" t="s">
        <v>398</v>
      </c>
      <c r="G250" s="22">
        <v>17153</v>
      </c>
      <c r="H250">
        <f t="shared" si="7"/>
        <v>-4.0498758909001172E-3</v>
      </c>
    </row>
    <row r="251" spans="1:8" x14ac:dyDescent="0.45">
      <c r="A251" s="21" t="s">
        <v>398</v>
      </c>
      <c r="B251" s="22">
        <v>867.5</v>
      </c>
      <c r="D251">
        <f t="shared" si="6"/>
        <v>3.5282549598009767E-3</v>
      </c>
      <c r="F251" s="21" t="s">
        <v>399</v>
      </c>
      <c r="G251" s="22">
        <v>17222</v>
      </c>
      <c r="H251">
        <f t="shared" si="7"/>
        <v>4.022619949862998E-3</v>
      </c>
    </row>
    <row r="252" spans="1:8" x14ac:dyDescent="0.45">
      <c r="A252" s="21" t="s">
        <v>399</v>
      </c>
      <c r="B252" s="22">
        <v>850.75</v>
      </c>
      <c r="D252">
        <f t="shared" si="6"/>
        <v>-1.9308357348703169E-2</v>
      </c>
      <c r="F252" s="21" t="s">
        <v>400</v>
      </c>
      <c r="G252" s="22">
        <v>17325.3</v>
      </c>
      <c r="H252">
        <f t="shared" si="7"/>
        <v>5.9981419115084931E-3</v>
      </c>
    </row>
    <row r="253" spans="1:8" x14ac:dyDescent="0.45">
      <c r="A253" s="21" t="s">
        <v>400</v>
      </c>
      <c r="B253" s="22">
        <v>830.4</v>
      </c>
      <c r="D253">
        <f t="shared" si="6"/>
        <v>-2.392007052600649E-2</v>
      </c>
      <c r="F253" s="21" t="s">
        <v>401</v>
      </c>
      <c r="G253" s="22">
        <v>17498.25</v>
      </c>
      <c r="H253">
        <f t="shared" si="7"/>
        <v>9.982511125348521E-3</v>
      </c>
    </row>
    <row r="254" spans="1:8" x14ac:dyDescent="0.45">
      <c r="A254" s="21" t="s">
        <v>401</v>
      </c>
      <c r="B254" s="22">
        <v>811.2</v>
      </c>
      <c r="D254">
        <f t="shared" si="6"/>
        <v>-2.3121387283236913E-2</v>
      </c>
      <c r="F254" s="21" t="s">
        <v>402</v>
      </c>
      <c r="G254" s="22">
        <v>17464.75</v>
      </c>
      <c r="H254">
        <f t="shared" si="7"/>
        <v>-1.9144771620019144E-3</v>
      </c>
    </row>
    <row r="255" spans="1:8" x14ac:dyDescent="0.45">
      <c r="A255" s="21" t="s">
        <v>402</v>
      </c>
      <c r="B255" s="22">
        <v>824.45</v>
      </c>
      <c r="D255">
        <f t="shared" si="6"/>
        <v>1.6333826429980276E-2</v>
      </c>
      <c r="F255" s="23">
        <v>44565</v>
      </c>
      <c r="G255" s="22">
        <v>17670.45</v>
      </c>
      <c r="H255">
        <f t="shared" si="7"/>
        <v>1.1778009991554459E-2</v>
      </c>
    </row>
    <row r="256" spans="1:8" x14ac:dyDescent="0.45">
      <c r="A256" s="23">
        <v>44565</v>
      </c>
      <c r="B256" s="22">
        <v>831.2</v>
      </c>
      <c r="D256">
        <f t="shared" si="6"/>
        <v>8.1872763660622225E-3</v>
      </c>
      <c r="F256" s="23">
        <v>44655</v>
      </c>
      <c r="G256" s="22">
        <v>18053.400000000001</v>
      </c>
      <c r="H256">
        <f t="shared" si="7"/>
        <v>2.1671774063478901E-2</v>
      </c>
    </row>
    <row r="257" spans="1:8" x14ac:dyDescent="0.45">
      <c r="A257" s="23">
        <v>44655</v>
      </c>
      <c r="B257" s="22">
        <v>841.4</v>
      </c>
      <c r="D257">
        <f t="shared" si="6"/>
        <v>1.2271414821944094E-2</v>
      </c>
      <c r="F257" s="23">
        <v>44685</v>
      </c>
      <c r="G257" s="22">
        <v>17957.400000000001</v>
      </c>
      <c r="H257">
        <f t="shared" si="7"/>
        <v>-5.3175579115291296E-3</v>
      </c>
    </row>
    <row r="258" spans="1:8" x14ac:dyDescent="0.45">
      <c r="A258" s="23">
        <v>44685</v>
      </c>
      <c r="B258" s="22">
        <v>835.1</v>
      </c>
      <c r="D258">
        <f t="shared" si="6"/>
        <v>-7.4875207986688317E-3</v>
      </c>
      <c r="F258" s="23">
        <v>44716</v>
      </c>
      <c r="G258" s="22">
        <v>17807.650000000001</v>
      </c>
      <c r="H258">
        <f t="shared" si="7"/>
        <v>-8.3391805049728793E-3</v>
      </c>
    </row>
    <row r="259" spans="1:8" x14ac:dyDescent="0.45">
      <c r="A259" s="23">
        <v>44716</v>
      </c>
      <c r="B259" s="22">
        <v>828.9</v>
      </c>
      <c r="D259">
        <f t="shared" si="6"/>
        <v>-7.4242605675967493E-3</v>
      </c>
      <c r="F259" s="23">
        <v>44746</v>
      </c>
      <c r="G259" s="22">
        <v>17639.55</v>
      </c>
      <c r="H259">
        <f t="shared" si="7"/>
        <v>-9.4397632478177736E-3</v>
      </c>
    </row>
    <row r="260" spans="1:8" x14ac:dyDescent="0.45">
      <c r="A260" s="23">
        <v>44746</v>
      </c>
      <c r="B260" s="22">
        <v>835.8</v>
      </c>
      <c r="D260">
        <f t="shared" ref="D260:D323" si="8">(B260-B259)/B259</f>
        <v>8.3242851972493391E-3</v>
      </c>
      <c r="F260" s="23">
        <v>44777</v>
      </c>
      <c r="G260" s="22">
        <v>17784.349999999999</v>
      </c>
      <c r="H260">
        <f t="shared" si="7"/>
        <v>8.2088261888766598E-3</v>
      </c>
    </row>
    <row r="261" spans="1:8" x14ac:dyDescent="0.45">
      <c r="A261" s="23">
        <v>44777</v>
      </c>
      <c r="B261" s="22">
        <v>840.05</v>
      </c>
      <c r="D261">
        <f t="shared" si="8"/>
        <v>5.0849485522852364E-3</v>
      </c>
      <c r="F261" s="23">
        <v>44869</v>
      </c>
      <c r="G261" s="22">
        <v>17674.95</v>
      </c>
      <c r="H261">
        <f t="shared" ref="H261:H324" si="9">(G261-G260)/G260</f>
        <v>-6.1514758762618721E-3</v>
      </c>
    </row>
    <row r="262" spans="1:8" x14ac:dyDescent="0.45">
      <c r="A262" s="23">
        <v>44869</v>
      </c>
      <c r="B262" s="22">
        <v>850.9</v>
      </c>
      <c r="D262">
        <f t="shared" si="8"/>
        <v>1.2915897863222454E-2</v>
      </c>
      <c r="F262" s="23">
        <v>44899</v>
      </c>
      <c r="G262" s="22">
        <v>17530.3</v>
      </c>
      <c r="H262">
        <f t="shared" si="9"/>
        <v>-8.1838986814673567E-3</v>
      </c>
    </row>
    <row r="263" spans="1:8" x14ac:dyDescent="0.45">
      <c r="A263" s="23">
        <v>44899</v>
      </c>
      <c r="B263" s="22">
        <v>872.65</v>
      </c>
      <c r="D263">
        <f t="shared" si="8"/>
        <v>2.5561170525326127E-2</v>
      </c>
      <c r="F263" s="21" t="s">
        <v>403</v>
      </c>
      <c r="G263" s="22">
        <v>17475.650000000001</v>
      </c>
      <c r="H263">
        <f t="shared" si="9"/>
        <v>-3.1174594844353958E-3</v>
      </c>
    </row>
    <row r="264" spans="1:8" x14ac:dyDescent="0.45">
      <c r="A264" s="21" t="s">
        <v>403</v>
      </c>
      <c r="B264" s="22">
        <v>871.2</v>
      </c>
      <c r="D264">
        <f t="shared" si="8"/>
        <v>-1.6616054546495524E-3</v>
      </c>
      <c r="F264" s="21" t="s">
        <v>404</v>
      </c>
      <c r="G264" s="22">
        <v>17173.650000000001</v>
      </c>
      <c r="H264">
        <f t="shared" si="9"/>
        <v>-1.7281188396425881E-2</v>
      </c>
    </row>
    <row r="265" spans="1:8" x14ac:dyDescent="0.45">
      <c r="A265" s="21" t="s">
        <v>404</v>
      </c>
      <c r="B265" s="22">
        <v>856.2</v>
      </c>
      <c r="D265">
        <f t="shared" si="8"/>
        <v>-1.7217630853994491E-2</v>
      </c>
      <c r="F265" s="21" t="s">
        <v>405</v>
      </c>
      <c r="G265" s="22">
        <v>16958.650000000001</v>
      </c>
      <c r="H265">
        <f t="shared" si="9"/>
        <v>-1.2519179091224054E-2</v>
      </c>
    </row>
    <row r="266" spans="1:8" x14ac:dyDescent="0.45">
      <c r="A266" s="21" t="s">
        <v>405</v>
      </c>
      <c r="B266" s="22">
        <v>845.55</v>
      </c>
      <c r="D266">
        <f t="shared" si="8"/>
        <v>-1.2438682550805992E-2</v>
      </c>
      <c r="F266" s="21" t="s">
        <v>406</v>
      </c>
      <c r="G266" s="22">
        <v>17136.55</v>
      </c>
      <c r="H266">
        <f t="shared" si="9"/>
        <v>1.049022180421188E-2</v>
      </c>
    </row>
    <row r="267" spans="1:8" x14ac:dyDescent="0.45">
      <c r="A267" s="21" t="s">
        <v>406</v>
      </c>
      <c r="B267" s="22">
        <v>844.3</v>
      </c>
      <c r="D267">
        <f t="shared" si="8"/>
        <v>-1.4783277156880138E-3</v>
      </c>
      <c r="F267" s="21" t="s">
        <v>407</v>
      </c>
      <c r="G267" s="22">
        <v>17392.599999999999</v>
      </c>
      <c r="H267">
        <f t="shared" si="9"/>
        <v>1.4941747317867323E-2</v>
      </c>
    </row>
    <row r="268" spans="1:8" x14ac:dyDescent="0.45">
      <c r="A268" s="21" t="s">
        <v>407</v>
      </c>
      <c r="B268" s="22">
        <v>847</v>
      </c>
      <c r="D268">
        <f t="shared" si="8"/>
        <v>3.1979154329030506E-3</v>
      </c>
      <c r="F268" s="21" t="s">
        <v>408</v>
      </c>
      <c r="G268" s="22">
        <v>17171.95</v>
      </c>
      <c r="H268">
        <f t="shared" si="9"/>
        <v>-1.2686429860975233E-2</v>
      </c>
    </row>
    <row r="269" spans="1:8" x14ac:dyDescent="0.45">
      <c r="A269" s="21" t="s">
        <v>408</v>
      </c>
      <c r="B269" s="22">
        <v>854.25</v>
      </c>
      <c r="D269">
        <f t="shared" si="8"/>
        <v>8.5596221959858328E-3</v>
      </c>
      <c r="F269" s="21" t="s">
        <v>409</v>
      </c>
      <c r="G269" s="22">
        <v>16953.95</v>
      </c>
      <c r="H269">
        <f t="shared" si="9"/>
        <v>-1.2695121986728355E-2</v>
      </c>
    </row>
    <row r="270" spans="1:8" x14ac:dyDescent="0.45">
      <c r="A270" s="21" t="s">
        <v>409</v>
      </c>
      <c r="B270" s="22">
        <v>843.45</v>
      </c>
      <c r="D270">
        <f t="shared" si="8"/>
        <v>-1.2642669007901616E-2</v>
      </c>
      <c r="F270" s="21" t="s">
        <v>410</v>
      </c>
      <c r="G270" s="22">
        <v>17200.8</v>
      </c>
      <c r="H270">
        <f t="shared" si="9"/>
        <v>1.4560028783852643E-2</v>
      </c>
    </row>
    <row r="271" spans="1:8" x14ac:dyDescent="0.45">
      <c r="A271" s="21" t="s">
        <v>410</v>
      </c>
      <c r="B271" s="22">
        <v>856.5</v>
      </c>
      <c r="D271">
        <f t="shared" si="8"/>
        <v>1.5472167881913515E-2</v>
      </c>
      <c r="F271" s="21" t="s">
        <v>411</v>
      </c>
      <c r="G271" s="22">
        <v>17038.400000000001</v>
      </c>
      <c r="H271">
        <f t="shared" si="9"/>
        <v>-9.4414213292403747E-3</v>
      </c>
    </row>
    <row r="272" spans="1:8" x14ac:dyDescent="0.45">
      <c r="A272" s="21" t="s">
        <v>411</v>
      </c>
      <c r="B272" s="22">
        <v>839.2</v>
      </c>
      <c r="D272">
        <f t="shared" si="8"/>
        <v>-2.0198482194979515E-2</v>
      </c>
      <c r="F272" s="21" t="s">
        <v>412</v>
      </c>
      <c r="G272" s="22">
        <v>17245.05</v>
      </c>
      <c r="H272">
        <f t="shared" si="9"/>
        <v>1.2128486242839574E-2</v>
      </c>
    </row>
    <row r="273" spans="1:8" x14ac:dyDescent="0.45">
      <c r="A273" s="21" t="s">
        <v>412</v>
      </c>
      <c r="B273" s="22">
        <v>846.4</v>
      </c>
      <c r="D273">
        <f t="shared" si="8"/>
        <v>8.57959961868438E-3</v>
      </c>
      <c r="F273" s="21" t="s">
        <v>413</v>
      </c>
      <c r="G273" s="22">
        <v>17102.55</v>
      </c>
      <c r="H273">
        <f t="shared" si="9"/>
        <v>-8.2632407560430388E-3</v>
      </c>
    </row>
    <row r="274" spans="1:8" x14ac:dyDescent="0.45">
      <c r="A274" s="21" t="s">
        <v>413</v>
      </c>
      <c r="B274" s="22">
        <v>828.6</v>
      </c>
      <c r="D274">
        <f t="shared" si="8"/>
        <v>-2.1030245746691819E-2</v>
      </c>
      <c r="F274" s="23">
        <v>44597</v>
      </c>
      <c r="G274" s="22">
        <v>17069.099999999999</v>
      </c>
      <c r="H274">
        <f t="shared" si="9"/>
        <v>-1.9558486892305958E-3</v>
      </c>
    </row>
    <row r="275" spans="1:8" x14ac:dyDescent="0.45">
      <c r="A275" s="23">
        <v>44597</v>
      </c>
      <c r="B275" s="22">
        <v>843</v>
      </c>
      <c r="D275">
        <f t="shared" si="8"/>
        <v>1.7378711078928286E-2</v>
      </c>
      <c r="F275" s="23">
        <v>44656</v>
      </c>
      <c r="G275" s="22">
        <v>16677.599999999999</v>
      </c>
      <c r="H275">
        <f t="shared" si="9"/>
        <v>-2.2936182927043608E-2</v>
      </c>
    </row>
    <row r="276" spans="1:8" x14ac:dyDescent="0.45">
      <c r="A276" s="23">
        <v>44656</v>
      </c>
      <c r="B276" s="22">
        <v>835.25</v>
      </c>
      <c r="D276">
        <f t="shared" si="8"/>
        <v>-9.1933570581257413E-3</v>
      </c>
      <c r="F276" s="23">
        <v>44686</v>
      </c>
      <c r="G276" s="22">
        <v>16682.650000000001</v>
      </c>
      <c r="H276">
        <f t="shared" si="9"/>
        <v>3.0280136230650159E-4</v>
      </c>
    </row>
    <row r="277" spans="1:8" x14ac:dyDescent="0.45">
      <c r="A277" s="23">
        <v>44686</v>
      </c>
      <c r="B277" s="22">
        <v>824.05</v>
      </c>
      <c r="D277">
        <f t="shared" si="8"/>
        <v>-1.3409158934450818E-2</v>
      </c>
      <c r="F277" s="23">
        <v>44717</v>
      </c>
      <c r="G277" s="22">
        <v>16411.25</v>
      </c>
      <c r="H277">
        <f t="shared" si="9"/>
        <v>-1.6268398605737183E-2</v>
      </c>
    </row>
    <row r="278" spans="1:8" x14ac:dyDescent="0.45">
      <c r="A278" s="23">
        <v>44717</v>
      </c>
      <c r="B278" s="22">
        <v>825.05</v>
      </c>
      <c r="D278">
        <f t="shared" si="8"/>
        <v>1.2135185971725018E-3</v>
      </c>
      <c r="F278" s="23">
        <v>44809</v>
      </c>
      <c r="G278" s="22">
        <v>16301.85</v>
      </c>
      <c r="H278">
        <f t="shared" si="9"/>
        <v>-6.6661588849112434E-3</v>
      </c>
    </row>
    <row r="279" spans="1:8" x14ac:dyDescent="0.45">
      <c r="A279" s="23">
        <v>44809</v>
      </c>
      <c r="B279" s="22">
        <v>819.15</v>
      </c>
      <c r="D279">
        <f t="shared" si="8"/>
        <v>-7.1510817526210264E-3</v>
      </c>
      <c r="F279" s="23">
        <v>44839</v>
      </c>
      <c r="G279" s="22">
        <v>16240.05</v>
      </c>
      <c r="H279">
        <f t="shared" si="9"/>
        <v>-3.7909807782552955E-3</v>
      </c>
    </row>
    <row r="280" spans="1:8" x14ac:dyDescent="0.45">
      <c r="A280" s="23">
        <v>44839</v>
      </c>
      <c r="B280" s="22">
        <v>815.7</v>
      </c>
      <c r="D280">
        <f t="shared" si="8"/>
        <v>-4.2116828419702518E-3</v>
      </c>
      <c r="F280" s="23">
        <v>44870</v>
      </c>
      <c r="G280" s="22">
        <v>16167.1</v>
      </c>
      <c r="H280">
        <f t="shared" si="9"/>
        <v>-4.4919812439000442E-3</v>
      </c>
    </row>
    <row r="281" spans="1:8" x14ac:dyDescent="0.45">
      <c r="A281" s="23">
        <v>44870</v>
      </c>
      <c r="B281" s="22">
        <v>808.65</v>
      </c>
      <c r="D281">
        <f t="shared" si="8"/>
        <v>-8.6428834130195756E-3</v>
      </c>
      <c r="F281" s="23">
        <v>44900</v>
      </c>
      <c r="G281" s="22">
        <v>15808</v>
      </c>
      <c r="H281">
        <f t="shared" si="9"/>
        <v>-2.2211775766835137E-2</v>
      </c>
    </row>
    <row r="282" spans="1:8" x14ac:dyDescent="0.45">
      <c r="A282" s="23">
        <v>44900</v>
      </c>
      <c r="B282" s="22">
        <v>780.9</v>
      </c>
      <c r="D282">
        <f t="shared" si="8"/>
        <v>-3.4316453348172883E-2</v>
      </c>
      <c r="F282" s="21" t="s">
        <v>414</v>
      </c>
      <c r="G282" s="22">
        <v>15782.15</v>
      </c>
      <c r="H282">
        <f t="shared" si="9"/>
        <v>-1.6352479757085251E-3</v>
      </c>
    </row>
    <row r="283" spans="1:8" x14ac:dyDescent="0.45">
      <c r="A283" s="21" t="s">
        <v>414</v>
      </c>
      <c r="B283" s="22">
        <v>801.25</v>
      </c>
      <c r="D283">
        <f t="shared" si="8"/>
        <v>2.6059674734280988E-2</v>
      </c>
      <c r="F283" s="21" t="s">
        <v>415</v>
      </c>
      <c r="G283" s="22">
        <v>15842.3</v>
      </c>
      <c r="H283">
        <f t="shared" si="9"/>
        <v>3.8112677930446509E-3</v>
      </c>
    </row>
    <row r="284" spans="1:8" x14ac:dyDescent="0.45">
      <c r="A284" s="21" t="s">
        <v>415</v>
      </c>
      <c r="B284" s="22">
        <v>790.2</v>
      </c>
      <c r="D284">
        <f t="shared" si="8"/>
        <v>-1.3790951638065466E-2</v>
      </c>
      <c r="F284" s="21" t="s">
        <v>416</v>
      </c>
      <c r="G284" s="22">
        <v>16259.3</v>
      </c>
      <c r="H284">
        <f t="shared" si="9"/>
        <v>2.6321935577536093E-2</v>
      </c>
    </row>
    <row r="285" spans="1:8" x14ac:dyDescent="0.45">
      <c r="A285" s="21" t="s">
        <v>416</v>
      </c>
      <c r="B285" s="22">
        <v>783.75</v>
      </c>
      <c r="D285">
        <f t="shared" si="8"/>
        <v>-8.1624905087320232E-3</v>
      </c>
      <c r="F285" s="21" t="s">
        <v>417</v>
      </c>
      <c r="G285" s="22">
        <v>16240.3</v>
      </c>
      <c r="H285">
        <f t="shared" si="9"/>
        <v>-1.1685619922136869E-3</v>
      </c>
    </row>
    <row r="286" spans="1:8" x14ac:dyDescent="0.45">
      <c r="A286" s="21" t="s">
        <v>417</v>
      </c>
      <c r="B286" s="22">
        <v>782.85</v>
      </c>
      <c r="D286">
        <f t="shared" si="8"/>
        <v>-1.1483253588516456E-3</v>
      </c>
      <c r="F286" s="21" t="s">
        <v>418</v>
      </c>
      <c r="G286" s="22">
        <v>15809.4</v>
      </c>
      <c r="H286">
        <f t="shared" si="9"/>
        <v>-2.6532761094314739E-2</v>
      </c>
    </row>
    <row r="287" spans="1:8" x14ac:dyDescent="0.45">
      <c r="A287" s="21" t="s">
        <v>418</v>
      </c>
      <c r="B287" s="22">
        <v>774.55</v>
      </c>
      <c r="D287">
        <f t="shared" si="8"/>
        <v>-1.0602286517212836E-2</v>
      </c>
      <c r="F287" s="21" t="s">
        <v>419</v>
      </c>
      <c r="G287" s="22">
        <v>16266.15</v>
      </c>
      <c r="H287">
        <f t="shared" si="9"/>
        <v>2.8891039508140728E-2</v>
      </c>
    </row>
    <row r="288" spans="1:8" x14ac:dyDescent="0.45">
      <c r="A288" s="21" t="s">
        <v>419</v>
      </c>
      <c r="B288" s="22">
        <v>756.25</v>
      </c>
      <c r="D288">
        <f t="shared" si="8"/>
        <v>-2.3626621909495778E-2</v>
      </c>
      <c r="F288" s="21" t="s">
        <v>420</v>
      </c>
      <c r="G288" s="22">
        <v>16214.7</v>
      </c>
      <c r="H288">
        <f t="shared" si="9"/>
        <v>-3.1630103005320194E-3</v>
      </c>
    </row>
    <row r="289" spans="1:8" x14ac:dyDescent="0.45">
      <c r="A289" s="21" t="s">
        <v>420</v>
      </c>
      <c r="B289" s="22">
        <v>754.9</v>
      </c>
      <c r="D289">
        <f t="shared" si="8"/>
        <v>-1.7851239669421789E-3</v>
      </c>
      <c r="F289" s="21" t="s">
        <v>421</v>
      </c>
      <c r="G289" s="22">
        <v>16125.15</v>
      </c>
      <c r="H289">
        <f t="shared" si="9"/>
        <v>-5.5227663786564718E-3</v>
      </c>
    </row>
    <row r="290" spans="1:8" x14ac:dyDescent="0.45">
      <c r="A290" s="21" t="s">
        <v>421</v>
      </c>
      <c r="B290" s="22">
        <v>756.5</v>
      </c>
      <c r="D290">
        <f t="shared" si="8"/>
        <v>2.1194860246390554E-3</v>
      </c>
      <c r="F290" s="21" t="s">
        <v>422</v>
      </c>
      <c r="G290" s="22">
        <v>16025.8</v>
      </c>
      <c r="H290">
        <f t="shared" si="9"/>
        <v>-6.1611829967473395E-3</v>
      </c>
    </row>
    <row r="291" spans="1:8" x14ac:dyDescent="0.45">
      <c r="A291" s="21" t="s">
        <v>422</v>
      </c>
      <c r="B291" s="22">
        <v>732.35</v>
      </c>
      <c r="D291">
        <f t="shared" si="8"/>
        <v>-3.192333113020486E-2</v>
      </c>
      <c r="F291" s="21" t="s">
        <v>423</v>
      </c>
      <c r="G291" s="22">
        <v>16170.15</v>
      </c>
      <c r="H291">
        <f t="shared" si="9"/>
        <v>9.0073506470816044E-3</v>
      </c>
    </row>
    <row r="292" spans="1:8" x14ac:dyDescent="0.45">
      <c r="A292" s="21" t="s">
        <v>423</v>
      </c>
      <c r="B292" s="22">
        <v>696.4</v>
      </c>
      <c r="D292">
        <f t="shared" si="8"/>
        <v>-4.9088550556427996E-2</v>
      </c>
      <c r="F292" s="21" t="s">
        <v>424</v>
      </c>
      <c r="G292" s="22">
        <v>16352.45</v>
      </c>
      <c r="H292">
        <f t="shared" si="9"/>
        <v>1.1273859549849637E-2</v>
      </c>
    </row>
    <row r="293" spans="1:8" x14ac:dyDescent="0.45">
      <c r="A293" s="21" t="s">
        <v>424</v>
      </c>
      <c r="B293" s="22">
        <v>697</v>
      </c>
      <c r="D293">
        <f t="shared" si="8"/>
        <v>8.615738081562647E-4</v>
      </c>
      <c r="F293" s="21" t="s">
        <v>425</v>
      </c>
      <c r="G293" s="22">
        <v>16661.400000000001</v>
      </c>
      <c r="H293">
        <f t="shared" si="9"/>
        <v>1.8893193374693133E-2</v>
      </c>
    </row>
    <row r="294" spans="1:8" x14ac:dyDescent="0.45">
      <c r="A294" s="21" t="s">
        <v>425</v>
      </c>
      <c r="B294" s="22">
        <v>695.85</v>
      </c>
      <c r="D294">
        <f t="shared" si="8"/>
        <v>-1.6499282639884896E-3</v>
      </c>
      <c r="F294" s="21" t="s">
        <v>426</v>
      </c>
      <c r="G294" s="22">
        <v>16584.55</v>
      </c>
      <c r="H294">
        <f t="shared" si="9"/>
        <v>-4.61245753658169E-3</v>
      </c>
    </row>
    <row r="295" spans="1:8" x14ac:dyDescent="0.45">
      <c r="A295" s="21" t="s">
        <v>426</v>
      </c>
      <c r="B295" s="22">
        <v>687.65</v>
      </c>
      <c r="D295">
        <f t="shared" si="8"/>
        <v>-1.1784148882661558E-2</v>
      </c>
      <c r="F295" s="23">
        <v>44567</v>
      </c>
      <c r="G295" s="22">
        <v>16522.75</v>
      </c>
      <c r="H295">
        <f t="shared" si="9"/>
        <v>-3.7263597746094571E-3</v>
      </c>
    </row>
    <row r="296" spans="1:8" x14ac:dyDescent="0.45">
      <c r="A296" s="23">
        <v>44567</v>
      </c>
      <c r="B296" s="22">
        <v>701.5</v>
      </c>
      <c r="D296">
        <f t="shared" si="8"/>
        <v>2.0141060132334798E-2</v>
      </c>
      <c r="F296" s="23">
        <v>44598</v>
      </c>
      <c r="G296" s="22">
        <v>16628</v>
      </c>
      <c r="H296">
        <f t="shared" si="9"/>
        <v>6.3700049931155528E-3</v>
      </c>
    </row>
    <row r="297" spans="1:8" x14ac:dyDescent="0.45">
      <c r="A297" s="23">
        <v>44598</v>
      </c>
      <c r="B297" s="22">
        <v>718.15</v>
      </c>
      <c r="D297">
        <f t="shared" si="8"/>
        <v>2.373485388453311E-2</v>
      </c>
      <c r="F297" s="23">
        <v>44626</v>
      </c>
      <c r="G297" s="22">
        <v>16584.3</v>
      </c>
      <c r="H297">
        <f t="shared" si="9"/>
        <v>-2.6280971854703346E-3</v>
      </c>
    </row>
    <row r="298" spans="1:8" x14ac:dyDescent="0.45">
      <c r="A298" s="23">
        <v>44626</v>
      </c>
      <c r="B298" s="22">
        <v>681.95</v>
      </c>
      <c r="D298">
        <f t="shared" si="8"/>
        <v>-5.0407296525795356E-2</v>
      </c>
      <c r="F298" s="23">
        <v>44718</v>
      </c>
      <c r="G298" s="22">
        <v>16569.55</v>
      </c>
      <c r="H298">
        <f t="shared" si="9"/>
        <v>-8.8939539202739944E-4</v>
      </c>
    </row>
    <row r="299" spans="1:8" x14ac:dyDescent="0.45">
      <c r="A299" s="23">
        <v>44718</v>
      </c>
      <c r="B299" s="22">
        <v>649.54999999999995</v>
      </c>
      <c r="D299">
        <f t="shared" si="8"/>
        <v>-4.7510814575848798E-2</v>
      </c>
      <c r="F299" s="23">
        <v>44748</v>
      </c>
      <c r="G299" s="22">
        <v>16416.349999999999</v>
      </c>
      <c r="H299">
        <f t="shared" si="9"/>
        <v>-9.2458757178077097E-3</v>
      </c>
    </row>
    <row r="300" spans="1:8" x14ac:dyDescent="0.45">
      <c r="A300" s="23">
        <v>44748</v>
      </c>
      <c r="B300" s="22">
        <v>645.29999999999995</v>
      </c>
      <c r="D300">
        <f t="shared" si="8"/>
        <v>-6.5429913016703881E-3</v>
      </c>
      <c r="F300" s="23">
        <v>44779</v>
      </c>
      <c r="G300" s="22">
        <v>16356.25</v>
      </c>
      <c r="H300">
        <f t="shared" si="9"/>
        <v>-3.6609843235553916E-3</v>
      </c>
    </row>
    <row r="301" spans="1:8" x14ac:dyDescent="0.45">
      <c r="A301" s="23">
        <v>44779</v>
      </c>
      <c r="B301" s="22">
        <v>641.29999999999995</v>
      </c>
      <c r="D301">
        <f t="shared" si="8"/>
        <v>-6.1986672865333957E-3</v>
      </c>
      <c r="F301" s="23">
        <v>44810</v>
      </c>
      <c r="G301" s="22">
        <v>16478.099999999999</v>
      </c>
      <c r="H301">
        <f t="shared" si="9"/>
        <v>7.4497516239968543E-3</v>
      </c>
    </row>
    <row r="302" spans="1:8" x14ac:dyDescent="0.45">
      <c r="A302" s="23">
        <v>44810</v>
      </c>
      <c r="B302" s="22">
        <v>639.15</v>
      </c>
      <c r="D302">
        <f t="shared" si="8"/>
        <v>-3.3525651021362505E-3</v>
      </c>
      <c r="F302" s="23">
        <v>44840</v>
      </c>
      <c r="G302" s="22">
        <v>16201.8</v>
      </c>
      <c r="H302">
        <f t="shared" si="9"/>
        <v>-1.6767709869463063E-2</v>
      </c>
    </row>
    <row r="303" spans="1:8" x14ac:dyDescent="0.45">
      <c r="A303" s="23">
        <v>44840</v>
      </c>
      <c r="B303" s="22">
        <v>622.54999999999995</v>
      </c>
      <c r="D303">
        <f t="shared" si="8"/>
        <v>-2.5971994054603806E-2</v>
      </c>
      <c r="F303" s="21" t="s">
        <v>427</v>
      </c>
      <c r="G303" s="22">
        <v>15774.4</v>
      </c>
      <c r="H303">
        <f t="shared" si="9"/>
        <v>-2.6379784962164678E-2</v>
      </c>
    </row>
    <row r="304" spans="1:8" x14ac:dyDescent="0.45">
      <c r="A304" s="21" t="s">
        <v>427</v>
      </c>
      <c r="B304" s="22">
        <v>596.1</v>
      </c>
      <c r="D304">
        <f t="shared" si="8"/>
        <v>-4.2486547265279791E-2</v>
      </c>
      <c r="F304" s="21" t="s">
        <v>428</v>
      </c>
      <c r="G304" s="22">
        <v>15732.1</v>
      </c>
      <c r="H304">
        <f t="shared" si="9"/>
        <v>-2.6815599959427471E-3</v>
      </c>
    </row>
    <row r="305" spans="1:8" x14ac:dyDescent="0.45">
      <c r="A305" s="21" t="s">
        <v>428</v>
      </c>
      <c r="B305" s="22">
        <v>600.75</v>
      </c>
      <c r="D305">
        <f t="shared" si="8"/>
        <v>7.8007045797684567E-3</v>
      </c>
      <c r="F305" s="21" t="s">
        <v>429</v>
      </c>
      <c r="G305" s="22">
        <v>15692.15</v>
      </c>
      <c r="H305">
        <f t="shared" si="9"/>
        <v>-2.5393939779178067E-3</v>
      </c>
    </row>
    <row r="306" spans="1:8" x14ac:dyDescent="0.45">
      <c r="A306" s="21" t="s">
        <v>429</v>
      </c>
      <c r="B306" s="22">
        <v>600.54999999999995</v>
      </c>
      <c r="D306">
        <f t="shared" si="8"/>
        <v>-3.329171868498468E-4</v>
      </c>
      <c r="F306" s="21" t="s">
        <v>430</v>
      </c>
      <c r="G306" s="22">
        <v>15360.6</v>
      </c>
      <c r="H306">
        <f t="shared" si="9"/>
        <v>-2.1128398594201514E-2</v>
      </c>
    </row>
    <row r="307" spans="1:8" x14ac:dyDescent="0.45">
      <c r="A307" s="21" t="s">
        <v>430</v>
      </c>
      <c r="B307" s="22">
        <v>588.15</v>
      </c>
      <c r="D307">
        <f t="shared" si="8"/>
        <v>-2.0647739572058909E-2</v>
      </c>
      <c r="F307" s="21" t="s">
        <v>431</v>
      </c>
      <c r="G307" s="22">
        <v>15293.5</v>
      </c>
      <c r="H307">
        <f t="shared" si="9"/>
        <v>-4.3683189458745336E-3</v>
      </c>
    </row>
    <row r="308" spans="1:8" x14ac:dyDescent="0.45">
      <c r="A308" s="21" t="s">
        <v>431</v>
      </c>
      <c r="B308" s="22">
        <v>560.54999999999995</v>
      </c>
      <c r="D308">
        <f t="shared" si="8"/>
        <v>-4.6926804386636101E-2</v>
      </c>
      <c r="F308" s="21" t="s">
        <v>432</v>
      </c>
      <c r="G308" s="22">
        <v>15350.15</v>
      </c>
      <c r="H308">
        <f t="shared" si="9"/>
        <v>3.7041880537483007E-3</v>
      </c>
    </row>
    <row r="309" spans="1:8" x14ac:dyDescent="0.45">
      <c r="A309" s="21" t="s">
        <v>432</v>
      </c>
      <c r="B309" s="22">
        <v>563.65</v>
      </c>
      <c r="D309">
        <f t="shared" si="8"/>
        <v>5.5302827580055716E-3</v>
      </c>
      <c r="F309" s="21" t="s">
        <v>433</v>
      </c>
      <c r="G309" s="22">
        <v>15638.8</v>
      </c>
      <c r="H309">
        <f t="shared" si="9"/>
        <v>1.8804376504464104E-2</v>
      </c>
    </row>
    <row r="310" spans="1:8" x14ac:dyDescent="0.45">
      <c r="A310" s="21" t="s">
        <v>433</v>
      </c>
      <c r="B310" s="22">
        <v>610.6</v>
      </c>
      <c r="D310">
        <f t="shared" si="8"/>
        <v>8.3296371861971169E-2</v>
      </c>
      <c r="F310" s="21" t="s">
        <v>434</v>
      </c>
      <c r="G310" s="22">
        <v>15413.3</v>
      </c>
      <c r="H310">
        <f t="shared" si="9"/>
        <v>-1.4419264905235697E-2</v>
      </c>
    </row>
    <row r="311" spans="1:8" x14ac:dyDescent="0.45">
      <c r="A311" s="21" t="s">
        <v>434</v>
      </c>
      <c r="B311" s="22">
        <v>587.65</v>
      </c>
      <c r="D311">
        <f t="shared" si="8"/>
        <v>-3.7585981002292899E-2</v>
      </c>
      <c r="F311" s="21" t="s">
        <v>435</v>
      </c>
      <c r="G311" s="22">
        <v>15556.65</v>
      </c>
      <c r="H311">
        <f t="shared" si="9"/>
        <v>9.3004093866985247E-3</v>
      </c>
    </row>
    <row r="312" spans="1:8" x14ac:dyDescent="0.45">
      <c r="A312" s="21" t="s">
        <v>435</v>
      </c>
      <c r="B312" s="22">
        <v>595.20000000000005</v>
      </c>
      <c r="D312">
        <f t="shared" si="8"/>
        <v>1.284778354462702E-2</v>
      </c>
      <c r="F312" s="21" t="s">
        <v>436</v>
      </c>
      <c r="G312" s="22">
        <v>15699.25</v>
      </c>
      <c r="H312">
        <f t="shared" si="9"/>
        <v>9.1664979285386236E-3</v>
      </c>
    </row>
    <row r="313" spans="1:8" x14ac:dyDescent="0.45">
      <c r="A313" s="21" t="s">
        <v>436</v>
      </c>
      <c r="B313" s="22">
        <v>617.15</v>
      </c>
      <c r="D313">
        <f t="shared" si="8"/>
        <v>3.6878360215053647E-2</v>
      </c>
      <c r="F313" s="21" t="s">
        <v>437</v>
      </c>
      <c r="G313" s="22">
        <v>15832.05</v>
      </c>
      <c r="H313">
        <f t="shared" si="9"/>
        <v>8.4590028186059384E-3</v>
      </c>
    </row>
    <row r="314" spans="1:8" x14ac:dyDescent="0.45">
      <c r="A314" s="21" t="s">
        <v>437</v>
      </c>
      <c r="B314" s="22">
        <v>619.70000000000005</v>
      </c>
      <c r="D314">
        <f t="shared" si="8"/>
        <v>4.1318966215669909E-3</v>
      </c>
      <c r="F314" s="21" t="s">
        <v>438</v>
      </c>
      <c r="G314" s="22">
        <v>15850.2</v>
      </c>
      <c r="H314">
        <f t="shared" si="9"/>
        <v>1.1464087089164989E-3</v>
      </c>
    </row>
    <row r="315" spans="1:8" x14ac:dyDescent="0.45">
      <c r="A315" s="21" t="s">
        <v>438</v>
      </c>
      <c r="B315" s="22">
        <v>632.75</v>
      </c>
      <c r="D315">
        <f t="shared" si="8"/>
        <v>2.105857673067606E-2</v>
      </c>
      <c r="F315" s="21" t="s">
        <v>439</v>
      </c>
      <c r="G315" s="22">
        <v>15799.1</v>
      </c>
      <c r="H315">
        <f t="shared" si="9"/>
        <v>-3.2239340828507123E-3</v>
      </c>
    </row>
    <row r="316" spans="1:8" x14ac:dyDescent="0.45">
      <c r="A316" s="21" t="s">
        <v>439</v>
      </c>
      <c r="B316" s="22">
        <v>616.79999999999995</v>
      </c>
      <c r="D316">
        <f t="shared" si="8"/>
        <v>-2.5207427894113069E-2</v>
      </c>
      <c r="F316" s="21" t="s">
        <v>440</v>
      </c>
      <c r="G316" s="22">
        <v>15780.25</v>
      </c>
      <c r="H316">
        <f t="shared" si="9"/>
        <v>-1.1931059364141225E-3</v>
      </c>
    </row>
    <row r="317" spans="1:8" x14ac:dyDescent="0.45">
      <c r="A317" s="21" t="s">
        <v>440</v>
      </c>
      <c r="B317" s="22">
        <v>610.1</v>
      </c>
      <c r="D317">
        <f t="shared" si="8"/>
        <v>-1.0862516212710656E-2</v>
      </c>
      <c r="F317" s="23">
        <v>44568</v>
      </c>
      <c r="G317" s="22">
        <v>15752.05</v>
      </c>
      <c r="H317">
        <f t="shared" si="9"/>
        <v>-1.7870439314966954E-3</v>
      </c>
    </row>
    <row r="318" spans="1:8" x14ac:dyDescent="0.45">
      <c r="A318" s="23">
        <v>44568</v>
      </c>
      <c r="B318" s="22">
        <v>621.65</v>
      </c>
      <c r="D318">
        <f t="shared" si="8"/>
        <v>1.8931322733977962E-2</v>
      </c>
      <c r="F318" s="23">
        <v>44658</v>
      </c>
      <c r="G318" s="22">
        <v>15835.35</v>
      </c>
      <c r="H318">
        <f t="shared" si="9"/>
        <v>5.2882005834161963E-3</v>
      </c>
    </row>
    <row r="319" spans="1:8" x14ac:dyDescent="0.45">
      <c r="A319" s="23">
        <v>44658</v>
      </c>
      <c r="B319" s="22">
        <v>613.4</v>
      </c>
      <c r="D319">
        <f t="shared" si="8"/>
        <v>-1.3271133274350519E-2</v>
      </c>
      <c r="F319" s="23">
        <v>44688</v>
      </c>
      <c r="G319" s="22">
        <v>15810.85</v>
      </c>
      <c r="H319">
        <f t="shared" si="9"/>
        <v>-1.5471713602793749E-3</v>
      </c>
    </row>
    <row r="320" spans="1:8" x14ac:dyDescent="0.45">
      <c r="A320" s="23">
        <v>44688</v>
      </c>
      <c r="B320" s="22">
        <v>614.4</v>
      </c>
      <c r="D320">
        <f t="shared" si="8"/>
        <v>1.6302575806977503E-3</v>
      </c>
      <c r="F320" s="23">
        <v>44719</v>
      </c>
      <c r="G320" s="22">
        <v>15989.8</v>
      </c>
      <c r="H320">
        <f t="shared" si="9"/>
        <v>1.1318177074603763E-2</v>
      </c>
    </row>
    <row r="321" spans="1:8" x14ac:dyDescent="0.45">
      <c r="A321" s="23">
        <v>44719</v>
      </c>
      <c r="B321" s="22">
        <v>622.95000000000005</v>
      </c>
      <c r="D321">
        <f t="shared" si="8"/>
        <v>1.3916015625000111E-2</v>
      </c>
      <c r="F321" s="23">
        <v>44749</v>
      </c>
      <c r="G321" s="22">
        <v>16132.9</v>
      </c>
      <c r="H321">
        <f t="shared" si="9"/>
        <v>8.9494552777395816E-3</v>
      </c>
    </row>
    <row r="322" spans="1:8" x14ac:dyDescent="0.45">
      <c r="A322" s="23">
        <v>44749</v>
      </c>
      <c r="B322" s="22">
        <v>640</v>
      </c>
      <c r="D322">
        <f t="shared" si="8"/>
        <v>2.7369772854964208E-2</v>
      </c>
      <c r="F322" s="23">
        <v>44780</v>
      </c>
      <c r="G322" s="22">
        <v>16220.6</v>
      </c>
      <c r="H322">
        <f t="shared" si="9"/>
        <v>5.4360964240775514E-3</v>
      </c>
    </row>
    <row r="323" spans="1:8" x14ac:dyDescent="0.45">
      <c r="A323" s="23">
        <v>44780</v>
      </c>
      <c r="B323" s="22">
        <v>621.9</v>
      </c>
      <c r="D323">
        <f t="shared" si="8"/>
        <v>-2.8281250000000036E-2</v>
      </c>
      <c r="F323" s="23">
        <v>44872</v>
      </c>
      <c r="G323" s="22">
        <v>16216</v>
      </c>
      <c r="H323">
        <f t="shared" si="9"/>
        <v>-2.8359000283592243E-4</v>
      </c>
    </row>
    <row r="324" spans="1:8" x14ac:dyDescent="0.45">
      <c r="A324" s="23">
        <v>44872</v>
      </c>
      <c r="B324" s="22">
        <v>670.1</v>
      </c>
      <c r="D324">
        <f t="shared" ref="D324:D387" si="10">(B324-B323)/B323</f>
        <v>7.7504421932786699E-2</v>
      </c>
      <c r="F324" s="23">
        <v>44902</v>
      </c>
      <c r="G324" s="22">
        <v>16058.3</v>
      </c>
      <c r="H324">
        <f t="shared" si="9"/>
        <v>-9.724962999506705E-3</v>
      </c>
    </row>
    <row r="325" spans="1:8" x14ac:dyDescent="0.45">
      <c r="A325" s="23">
        <v>44902</v>
      </c>
      <c r="B325" s="22">
        <v>657.15</v>
      </c>
      <c r="D325">
        <f t="shared" si="10"/>
        <v>-1.9325473809879191E-2</v>
      </c>
      <c r="F325" s="21" t="s">
        <v>441</v>
      </c>
      <c r="G325" s="22">
        <v>15966.65</v>
      </c>
      <c r="H325">
        <f t="shared" ref="H325:H388" si="11">(G325-G324)/G324</f>
        <v>-5.7073289202468278E-3</v>
      </c>
    </row>
    <row r="326" spans="1:8" x14ac:dyDescent="0.45">
      <c r="A326" s="21" t="s">
        <v>441</v>
      </c>
      <c r="B326" s="22">
        <v>705.55</v>
      </c>
      <c r="D326">
        <f t="shared" si="10"/>
        <v>7.3651373354637423E-2</v>
      </c>
      <c r="F326" s="21" t="s">
        <v>442</v>
      </c>
      <c r="G326" s="22">
        <v>15938.65</v>
      </c>
      <c r="H326">
        <f t="shared" si="11"/>
        <v>-1.7536552752142748E-3</v>
      </c>
    </row>
    <row r="327" spans="1:8" x14ac:dyDescent="0.45">
      <c r="A327" s="21" t="s">
        <v>442</v>
      </c>
      <c r="B327" s="22">
        <v>741.2</v>
      </c>
      <c r="D327">
        <f t="shared" si="10"/>
        <v>5.0527956913046693E-2</v>
      </c>
      <c r="F327" s="21" t="s">
        <v>443</v>
      </c>
      <c r="G327" s="22">
        <v>16049.2</v>
      </c>
      <c r="H327">
        <f t="shared" si="11"/>
        <v>6.9359701103921031E-3</v>
      </c>
    </row>
    <row r="328" spans="1:8" x14ac:dyDescent="0.45">
      <c r="A328" s="21" t="s">
        <v>443</v>
      </c>
      <c r="B328" s="22">
        <v>733.15</v>
      </c>
      <c r="D328">
        <f t="shared" si="10"/>
        <v>-1.0860766324878667E-2</v>
      </c>
      <c r="F328" s="21" t="s">
        <v>444</v>
      </c>
      <c r="G328" s="22">
        <v>16278.5</v>
      </c>
      <c r="H328">
        <f t="shared" si="11"/>
        <v>1.428731650175705E-2</v>
      </c>
    </row>
    <row r="329" spans="1:8" x14ac:dyDescent="0.45">
      <c r="A329" s="21" t="s">
        <v>444</v>
      </c>
      <c r="B329" s="22">
        <v>740.9</v>
      </c>
      <c r="D329">
        <f t="shared" si="10"/>
        <v>1.0570824524312896E-2</v>
      </c>
      <c r="F329" s="21" t="s">
        <v>445</v>
      </c>
      <c r="G329" s="22">
        <v>16340.55</v>
      </c>
      <c r="H329">
        <f t="shared" si="11"/>
        <v>3.8117762693122385E-3</v>
      </c>
    </row>
    <row r="330" spans="1:8" x14ac:dyDescent="0.45">
      <c r="A330" s="21" t="s">
        <v>445</v>
      </c>
      <c r="B330" s="22">
        <v>730.2</v>
      </c>
      <c r="D330">
        <f t="shared" si="10"/>
        <v>-1.4441894992576504E-2</v>
      </c>
      <c r="F330" s="21" t="s">
        <v>446</v>
      </c>
      <c r="G330" s="22">
        <v>16520.849999999999</v>
      </c>
      <c r="H330">
        <f t="shared" si="11"/>
        <v>1.1033900327712303E-2</v>
      </c>
    </row>
    <row r="331" spans="1:8" x14ac:dyDescent="0.45">
      <c r="A331" s="21" t="s">
        <v>446</v>
      </c>
      <c r="B331" s="22">
        <v>734.4</v>
      </c>
      <c r="D331">
        <f t="shared" si="10"/>
        <v>5.7518488085455104E-3</v>
      </c>
      <c r="F331" s="21" t="s">
        <v>447</v>
      </c>
      <c r="G331" s="22">
        <v>16605.25</v>
      </c>
      <c r="H331">
        <f t="shared" si="11"/>
        <v>5.1086959811390735E-3</v>
      </c>
    </row>
    <row r="332" spans="1:8" x14ac:dyDescent="0.45">
      <c r="A332" s="21" t="s">
        <v>447</v>
      </c>
      <c r="B332" s="22">
        <v>752.75</v>
      </c>
      <c r="D332">
        <f t="shared" si="10"/>
        <v>2.4986383442265826E-2</v>
      </c>
      <c r="F332" s="21" t="s">
        <v>448</v>
      </c>
      <c r="G332" s="22">
        <v>16719.45</v>
      </c>
      <c r="H332">
        <f t="shared" si="11"/>
        <v>6.8773430089881654E-3</v>
      </c>
    </row>
    <row r="333" spans="1:8" x14ac:dyDescent="0.45">
      <c r="A333" s="21" t="s">
        <v>448</v>
      </c>
      <c r="B333" s="22">
        <v>793.25</v>
      </c>
      <c r="D333">
        <f t="shared" si="10"/>
        <v>5.3802723347725005E-2</v>
      </c>
      <c r="F333" s="21" t="s">
        <v>449</v>
      </c>
      <c r="G333" s="22">
        <v>16631</v>
      </c>
      <c r="H333">
        <f t="shared" si="11"/>
        <v>-5.2902457915781154E-3</v>
      </c>
    </row>
    <row r="334" spans="1:8" x14ac:dyDescent="0.45">
      <c r="A334" s="21" t="s">
        <v>449</v>
      </c>
      <c r="B334" s="22">
        <v>787.65</v>
      </c>
      <c r="D334">
        <f t="shared" si="10"/>
        <v>-7.0595650803656129E-3</v>
      </c>
      <c r="F334" s="21" t="s">
        <v>450</v>
      </c>
      <c r="G334" s="22">
        <v>16483.849999999999</v>
      </c>
      <c r="H334">
        <f t="shared" si="11"/>
        <v>-8.8479345800012901E-3</v>
      </c>
    </row>
    <row r="335" spans="1:8" x14ac:dyDescent="0.45">
      <c r="A335" s="21" t="s">
        <v>450</v>
      </c>
      <c r="B335" s="22">
        <v>756.45</v>
      </c>
      <c r="D335">
        <f t="shared" si="10"/>
        <v>-3.9611502570938782E-2</v>
      </c>
      <c r="F335" s="21" t="s">
        <v>451</v>
      </c>
      <c r="G335" s="22">
        <v>16641.8</v>
      </c>
      <c r="H335">
        <f t="shared" si="11"/>
        <v>9.5821061220528417E-3</v>
      </c>
    </row>
    <row r="336" spans="1:8" x14ac:dyDescent="0.45">
      <c r="A336" s="21" t="s">
        <v>451</v>
      </c>
      <c r="B336" s="22">
        <v>748.35</v>
      </c>
      <c r="D336">
        <f t="shared" si="10"/>
        <v>-1.0707911957168382E-2</v>
      </c>
      <c r="F336" s="21" t="s">
        <v>452</v>
      </c>
      <c r="G336" s="22">
        <v>16929.599999999999</v>
      </c>
      <c r="H336">
        <f t="shared" si="11"/>
        <v>1.7293802353110798E-2</v>
      </c>
    </row>
    <row r="337" spans="1:8" x14ac:dyDescent="0.45">
      <c r="A337" s="21" t="s">
        <v>452</v>
      </c>
      <c r="B337" s="22">
        <v>743.85</v>
      </c>
      <c r="D337">
        <f t="shared" si="10"/>
        <v>-6.0132291040288629E-3</v>
      </c>
      <c r="F337" s="21" t="s">
        <v>453</v>
      </c>
      <c r="G337" s="22">
        <v>17158.25</v>
      </c>
      <c r="H337">
        <f t="shared" si="11"/>
        <v>1.3505930441357237E-2</v>
      </c>
    </row>
    <row r="338" spans="1:8" x14ac:dyDescent="0.45">
      <c r="A338" s="21" t="s">
        <v>453</v>
      </c>
      <c r="B338" s="22">
        <v>796.75</v>
      </c>
      <c r="D338">
        <f t="shared" si="10"/>
        <v>7.1116488539356024E-2</v>
      </c>
      <c r="F338" s="23">
        <v>44569</v>
      </c>
      <c r="G338" s="22">
        <v>17340.05</v>
      </c>
      <c r="H338">
        <f t="shared" si="11"/>
        <v>1.0595486136406642E-2</v>
      </c>
    </row>
    <row r="339" spans="1:8" x14ac:dyDescent="0.45">
      <c r="A339" s="23">
        <v>44569</v>
      </c>
      <c r="B339" s="22">
        <v>837.75</v>
      </c>
      <c r="D339">
        <f t="shared" si="10"/>
        <v>5.1459052400376529E-2</v>
      </c>
      <c r="F339" s="23">
        <v>44600</v>
      </c>
      <c r="G339" s="22">
        <v>17345.45</v>
      </c>
      <c r="H339">
        <f t="shared" si="11"/>
        <v>3.114177871460264E-4</v>
      </c>
    </row>
    <row r="340" spans="1:8" x14ac:dyDescent="0.45">
      <c r="A340" s="23">
        <v>44600</v>
      </c>
      <c r="B340" s="22">
        <v>795.55</v>
      </c>
      <c r="D340">
        <f t="shared" si="10"/>
        <v>-5.0373022978215512E-2</v>
      </c>
      <c r="F340" s="23">
        <v>44628</v>
      </c>
      <c r="G340" s="22">
        <v>17388.150000000001</v>
      </c>
      <c r="H340">
        <f t="shared" si="11"/>
        <v>2.461740687039006E-3</v>
      </c>
    </row>
    <row r="341" spans="1:8" x14ac:dyDescent="0.45">
      <c r="A341" s="23">
        <v>44628</v>
      </c>
      <c r="B341" s="22">
        <v>769.9</v>
      </c>
      <c r="D341">
        <f t="shared" si="10"/>
        <v>-3.2241845264282545E-2</v>
      </c>
      <c r="F341" s="23">
        <v>44659</v>
      </c>
      <c r="G341" s="22">
        <v>17382</v>
      </c>
      <c r="H341">
        <f t="shared" si="11"/>
        <v>-3.5368915036973193E-4</v>
      </c>
    </row>
    <row r="342" spans="1:8" x14ac:dyDescent="0.45">
      <c r="A342" s="23">
        <v>44659</v>
      </c>
      <c r="B342" s="22">
        <v>761.65</v>
      </c>
      <c r="D342">
        <f t="shared" si="10"/>
        <v>-1.0715677360696195E-2</v>
      </c>
      <c r="F342" s="23">
        <v>44689</v>
      </c>
      <c r="G342" s="22">
        <v>17397.5</v>
      </c>
      <c r="H342">
        <f t="shared" si="11"/>
        <v>8.9172707398458174E-4</v>
      </c>
    </row>
    <row r="343" spans="1:8" x14ac:dyDescent="0.45">
      <c r="A343" s="23">
        <v>44689</v>
      </c>
      <c r="B343" s="22">
        <v>767.3</v>
      </c>
      <c r="D343">
        <f t="shared" si="10"/>
        <v>7.4181054290027928E-3</v>
      </c>
      <c r="F343" s="23">
        <v>44781</v>
      </c>
      <c r="G343" s="22">
        <v>17525.099999999999</v>
      </c>
      <c r="H343">
        <f t="shared" si="11"/>
        <v>7.3343871245867822E-3</v>
      </c>
    </row>
    <row r="344" spans="1:8" x14ac:dyDescent="0.45">
      <c r="A344" s="23">
        <v>44781</v>
      </c>
      <c r="B344" s="22">
        <v>789.1</v>
      </c>
      <c r="D344">
        <f t="shared" si="10"/>
        <v>2.8411312394109305E-2</v>
      </c>
      <c r="F344" s="23">
        <v>44842</v>
      </c>
      <c r="G344" s="22">
        <v>17534.75</v>
      </c>
      <c r="H344">
        <f t="shared" si="11"/>
        <v>5.5063879806685587E-4</v>
      </c>
    </row>
    <row r="345" spans="1:8" x14ac:dyDescent="0.45">
      <c r="A345" s="23">
        <v>44842</v>
      </c>
      <c r="B345" s="22">
        <v>772.4</v>
      </c>
      <c r="D345">
        <f t="shared" si="10"/>
        <v>-2.1163350652642309E-2</v>
      </c>
      <c r="F345" s="23">
        <v>44873</v>
      </c>
      <c r="G345" s="22">
        <v>17659</v>
      </c>
      <c r="H345">
        <f t="shared" si="11"/>
        <v>7.0859293688247619E-3</v>
      </c>
    </row>
    <row r="346" spans="1:8" x14ac:dyDescent="0.45">
      <c r="A346" s="23">
        <v>44873</v>
      </c>
      <c r="B346" s="22">
        <v>760.55</v>
      </c>
      <c r="D346">
        <f t="shared" si="10"/>
        <v>-1.5341791817711061E-2</v>
      </c>
      <c r="F346" s="23">
        <v>44903</v>
      </c>
      <c r="G346" s="22">
        <v>17698.150000000001</v>
      </c>
      <c r="H346">
        <f t="shared" si="11"/>
        <v>2.2169998301150378E-3</v>
      </c>
    </row>
    <row r="347" spans="1:8" x14ac:dyDescent="0.45">
      <c r="A347" s="23">
        <v>44903</v>
      </c>
      <c r="B347" s="22">
        <v>750.7</v>
      </c>
      <c r="D347">
        <f t="shared" si="10"/>
        <v>-1.2951153770297692E-2</v>
      </c>
      <c r="F347" s="21" t="s">
        <v>454</v>
      </c>
      <c r="G347" s="22">
        <v>17825.25</v>
      </c>
      <c r="H347">
        <f t="shared" si="11"/>
        <v>7.181541573554215E-3</v>
      </c>
    </row>
    <row r="348" spans="1:8" x14ac:dyDescent="0.45">
      <c r="A348" s="21" t="s">
        <v>454</v>
      </c>
      <c r="B348" s="22">
        <v>747.55</v>
      </c>
      <c r="D348">
        <f t="shared" si="10"/>
        <v>-4.1960836552552162E-3</v>
      </c>
      <c r="F348" s="21" t="s">
        <v>455</v>
      </c>
      <c r="G348" s="22">
        <v>17944.25</v>
      </c>
      <c r="H348">
        <f t="shared" si="11"/>
        <v>6.675923198833116E-3</v>
      </c>
    </row>
    <row r="349" spans="1:8" x14ac:dyDescent="0.45">
      <c r="A349" s="21" t="s">
        <v>455</v>
      </c>
      <c r="B349" s="22">
        <v>754.15</v>
      </c>
      <c r="D349">
        <f t="shared" si="10"/>
        <v>8.8288408802087125E-3</v>
      </c>
      <c r="F349" s="21" t="s">
        <v>456</v>
      </c>
      <c r="G349" s="22">
        <v>17956.5</v>
      </c>
      <c r="H349">
        <f t="shared" si="11"/>
        <v>6.8266993605193866E-4</v>
      </c>
    </row>
    <row r="350" spans="1:8" x14ac:dyDescent="0.45">
      <c r="A350" s="21" t="s">
        <v>456</v>
      </c>
      <c r="B350" s="22">
        <v>757.2</v>
      </c>
      <c r="D350">
        <f t="shared" si="10"/>
        <v>4.0442882715641029E-3</v>
      </c>
      <c r="F350" s="21" t="s">
        <v>457</v>
      </c>
      <c r="G350" s="22">
        <v>17758.45</v>
      </c>
      <c r="H350">
        <f t="shared" si="11"/>
        <v>-1.102943223902204E-2</v>
      </c>
    </row>
    <row r="351" spans="1:8" x14ac:dyDescent="0.45">
      <c r="A351" s="21" t="s">
        <v>457</v>
      </c>
      <c r="B351" s="22">
        <v>751.6</v>
      </c>
      <c r="D351">
        <f t="shared" si="10"/>
        <v>-7.3956682514527503E-3</v>
      </c>
      <c r="F351" s="21" t="s">
        <v>458</v>
      </c>
      <c r="G351" s="22">
        <v>17490.7</v>
      </c>
      <c r="H351">
        <f t="shared" si="11"/>
        <v>-1.507732938403971E-2</v>
      </c>
    </row>
    <row r="352" spans="1:8" x14ac:dyDescent="0.45">
      <c r="A352" s="21" t="s">
        <v>458</v>
      </c>
      <c r="B352" s="22">
        <v>756.5</v>
      </c>
      <c r="D352">
        <f t="shared" si="10"/>
        <v>6.5194252261841102E-3</v>
      </c>
      <c r="F352" s="21" t="s">
        <v>459</v>
      </c>
      <c r="G352" s="22">
        <v>17577.5</v>
      </c>
      <c r="H352">
        <f t="shared" si="11"/>
        <v>4.9626372872440365E-3</v>
      </c>
    </row>
    <row r="353" spans="1:8" x14ac:dyDescent="0.45">
      <c r="A353" s="21" t="s">
        <v>459</v>
      </c>
      <c r="B353" s="22">
        <v>748.6</v>
      </c>
      <c r="D353">
        <f t="shared" si="10"/>
        <v>-1.0442828816919996E-2</v>
      </c>
      <c r="F353" s="21" t="s">
        <v>460</v>
      </c>
      <c r="G353" s="22">
        <v>17604.95</v>
      </c>
      <c r="H353">
        <f t="shared" si="11"/>
        <v>1.5616555255298381E-3</v>
      </c>
    </row>
    <row r="354" spans="1:8" x14ac:dyDescent="0.45">
      <c r="A354" s="21" t="s">
        <v>460</v>
      </c>
      <c r="B354" s="22">
        <v>750.5</v>
      </c>
      <c r="D354">
        <f t="shared" si="10"/>
        <v>2.5380710659898172E-3</v>
      </c>
      <c r="F354" s="21" t="s">
        <v>461</v>
      </c>
      <c r="G354" s="22">
        <v>17522.45</v>
      </c>
      <c r="H354">
        <f t="shared" si="11"/>
        <v>-4.6861820113093195E-3</v>
      </c>
    </row>
    <row r="355" spans="1:8" x14ac:dyDescent="0.45">
      <c r="A355" s="21" t="s">
        <v>461</v>
      </c>
      <c r="B355" s="22">
        <v>762.9</v>
      </c>
      <c r="D355">
        <f t="shared" si="10"/>
        <v>1.6522318454363728E-2</v>
      </c>
      <c r="F355" s="21" t="s">
        <v>462</v>
      </c>
      <c r="G355" s="22">
        <v>17558.900000000001</v>
      </c>
      <c r="H355">
        <f t="shared" si="11"/>
        <v>2.0801885581069272E-3</v>
      </c>
    </row>
    <row r="356" spans="1:8" x14ac:dyDescent="0.45">
      <c r="A356" s="21" t="s">
        <v>462</v>
      </c>
      <c r="B356" s="22">
        <v>764.85</v>
      </c>
      <c r="D356">
        <f t="shared" si="10"/>
        <v>2.5560361777428832E-3</v>
      </c>
      <c r="F356" s="21" t="s">
        <v>463</v>
      </c>
      <c r="G356" s="22">
        <v>17312.900000000001</v>
      </c>
      <c r="H356">
        <f t="shared" si="11"/>
        <v>-1.4009989236227781E-2</v>
      </c>
    </row>
    <row r="357" spans="1:8" x14ac:dyDescent="0.45">
      <c r="A357" s="21" t="s">
        <v>463</v>
      </c>
      <c r="B357" s="22">
        <v>764.45</v>
      </c>
      <c r="D357">
        <f t="shared" si="10"/>
        <v>-5.22978361770252E-4</v>
      </c>
      <c r="F357" s="21" t="s">
        <v>464</v>
      </c>
      <c r="G357" s="22">
        <v>17759.3</v>
      </c>
      <c r="H357">
        <f t="shared" si="11"/>
        <v>2.5784241808131381E-2</v>
      </c>
    </row>
    <row r="358" spans="1:8" x14ac:dyDescent="0.45">
      <c r="A358" s="21" t="s">
        <v>464</v>
      </c>
      <c r="B358" s="22">
        <v>777</v>
      </c>
      <c r="D358">
        <f t="shared" si="10"/>
        <v>1.6417031852966123E-2</v>
      </c>
      <c r="F358" s="23">
        <v>44570</v>
      </c>
      <c r="G358" s="22">
        <v>17542.8</v>
      </c>
      <c r="H358">
        <f t="shared" si="11"/>
        <v>-1.219079580839335E-2</v>
      </c>
    </row>
    <row r="359" spans="1:8" x14ac:dyDescent="0.45">
      <c r="A359" s="23">
        <v>44570</v>
      </c>
      <c r="B359" s="22">
        <v>763.7</v>
      </c>
      <c r="D359">
        <f t="shared" si="10"/>
        <v>-1.711711711711706E-2</v>
      </c>
      <c r="F359" s="23">
        <v>44601</v>
      </c>
      <c r="G359" s="22">
        <v>17539.45</v>
      </c>
      <c r="H359">
        <f t="shared" si="11"/>
        <v>-1.909615340765753E-4</v>
      </c>
    </row>
    <row r="360" spans="1:8" x14ac:dyDescent="0.45">
      <c r="A360" s="23">
        <v>44601</v>
      </c>
      <c r="B360" s="22">
        <v>764.35</v>
      </c>
      <c r="D360">
        <f t="shared" si="10"/>
        <v>8.5111954956131628E-4</v>
      </c>
      <c r="F360" s="23">
        <v>44690</v>
      </c>
      <c r="G360" s="22">
        <v>17665.8</v>
      </c>
      <c r="H360">
        <f t="shared" si="11"/>
        <v>7.2037606652431254E-3</v>
      </c>
    </row>
    <row r="361" spans="1:8" x14ac:dyDescent="0.45">
      <c r="A361" s="23">
        <v>44690</v>
      </c>
      <c r="B361" s="22">
        <v>764.7</v>
      </c>
      <c r="D361">
        <f t="shared" si="10"/>
        <v>4.5790540982537154E-4</v>
      </c>
      <c r="F361" s="23">
        <v>44721</v>
      </c>
      <c r="G361" s="22">
        <v>17655.599999999999</v>
      </c>
      <c r="H361">
        <f t="shared" si="11"/>
        <v>-5.7738681520229645E-4</v>
      </c>
    </row>
    <row r="362" spans="1:8" x14ac:dyDescent="0.45">
      <c r="A362" s="23">
        <v>44721</v>
      </c>
      <c r="B362" s="22">
        <v>768.65</v>
      </c>
      <c r="D362">
        <f t="shared" si="10"/>
        <v>5.1654243494179833E-3</v>
      </c>
      <c r="F362" s="23">
        <v>44751</v>
      </c>
      <c r="G362" s="22">
        <v>17624.400000000001</v>
      </c>
      <c r="H362">
        <f t="shared" si="11"/>
        <v>-1.7671447019640845E-3</v>
      </c>
    </row>
    <row r="363" spans="1:8" x14ac:dyDescent="0.45">
      <c r="A363" s="23">
        <v>44751</v>
      </c>
      <c r="B363" s="22">
        <v>774.75</v>
      </c>
      <c r="D363">
        <f t="shared" si="10"/>
        <v>7.9359916737136837E-3</v>
      </c>
      <c r="F363" s="23">
        <v>44782</v>
      </c>
      <c r="G363" s="22">
        <v>17798.75</v>
      </c>
      <c r="H363">
        <f t="shared" si="11"/>
        <v>9.8925353487210078E-3</v>
      </c>
    </row>
    <row r="364" spans="1:8" x14ac:dyDescent="0.45">
      <c r="A364" s="23">
        <v>44782</v>
      </c>
      <c r="B364" s="22">
        <v>777.9</v>
      </c>
      <c r="D364">
        <f t="shared" si="10"/>
        <v>4.0658276863504064E-3</v>
      </c>
      <c r="F364" s="23">
        <v>44813</v>
      </c>
      <c r="G364" s="22">
        <v>17833.349999999999</v>
      </c>
      <c r="H364">
        <f t="shared" si="11"/>
        <v>1.9439567385349278E-3</v>
      </c>
    </row>
    <row r="365" spans="1:8" x14ac:dyDescent="0.45">
      <c r="A365" s="23">
        <v>44813</v>
      </c>
      <c r="B365" s="22">
        <v>786.55</v>
      </c>
      <c r="D365">
        <f t="shared" si="10"/>
        <v>1.1119681192955365E-2</v>
      </c>
      <c r="F365" s="23">
        <v>44904</v>
      </c>
      <c r="G365" s="22">
        <v>17936.349999999999</v>
      </c>
      <c r="H365">
        <f t="shared" si="11"/>
        <v>5.775695536733144E-3</v>
      </c>
    </row>
    <row r="366" spans="1:8" x14ac:dyDescent="0.45">
      <c r="A366" s="23">
        <v>44904</v>
      </c>
      <c r="B366" s="22">
        <v>781.05</v>
      </c>
      <c r="D366">
        <f t="shared" si="10"/>
        <v>-6.9925624562964849E-3</v>
      </c>
      <c r="F366" s="21" t="s">
        <v>465</v>
      </c>
      <c r="G366" s="22">
        <v>18070.05</v>
      </c>
      <c r="H366">
        <f t="shared" si="11"/>
        <v>7.4541364324403094E-3</v>
      </c>
    </row>
    <row r="367" spans="1:8" x14ac:dyDescent="0.45">
      <c r="A367" s="21" t="s">
        <v>465</v>
      </c>
      <c r="B367" s="22">
        <v>777.35</v>
      </c>
      <c r="D367">
        <f t="shared" si="10"/>
        <v>-4.7372127264578862E-3</v>
      </c>
      <c r="F367" s="21" t="s">
        <v>466</v>
      </c>
      <c r="G367" s="22">
        <v>18003.75</v>
      </c>
      <c r="H367">
        <f t="shared" si="11"/>
        <v>-3.6690545958643875E-3</v>
      </c>
    </row>
    <row r="368" spans="1:8" x14ac:dyDescent="0.45">
      <c r="A368" s="21" t="s">
        <v>466</v>
      </c>
      <c r="B368" s="22">
        <v>770.45</v>
      </c>
      <c r="D368">
        <f t="shared" si="10"/>
        <v>-8.8763105422267671E-3</v>
      </c>
      <c r="F368" s="21" t="s">
        <v>467</v>
      </c>
      <c r="G368" s="22">
        <v>17877.400000000001</v>
      </c>
      <c r="H368">
        <f t="shared" si="11"/>
        <v>-7.0179823647850336E-3</v>
      </c>
    </row>
    <row r="369" spans="1:8" x14ac:dyDescent="0.45">
      <c r="A369" s="21" t="s">
        <v>467</v>
      </c>
      <c r="B369" s="22">
        <v>773.8</v>
      </c>
      <c r="D369">
        <f t="shared" si="10"/>
        <v>4.3481082484261259E-3</v>
      </c>
      <c r="F369" s="21" t="s">
        <v>468</v>
      </c>
      <c r="G369" s="22">
        <v>17530.849999999999</v>
      </c>
      <c r="H369">
        <f t="shared" si="11"/>
        <v>-1.9384809871681726E-2</v>
      </c>
    </row>
    <row r="370" spans="1:8" x14ac:dyDescent="0.45">
      <c r="A370" s="21" t="s">
        <v>468</v>
      </c>
      <c r="B370" s="22">
        <v>756.05</v>
      </c>
      <c r="D370">
        <f t="shared" si="10"/>
        <v>-2.2938743861462912E-2</v>
      </c>
      <c r="F370" s="21" t="s">
        <v>469</v>
      </c>
      <c r="G370" s="22">
        <v>17622.25</v>
      </c>
      <c r="H370">
        <f t="shared" si="11"/>
        <v>5.2136661941663675E-3</v>
      </c>
    </row>
    <row r="371" spans="1:8" x14ac:dyDescent="0.45">
      <c r="A371" s="21" t="s">
        <v>469</v>
      </c>
      <c r="B371" s="22">
        <v>740.75</v>
      </c>
      <c r="D371">
        <f t="shared" si="10"/>
        <v>-2.0236756828252041E-2</v>
      </c>
      <c r="F371" s="21" t="s">
        <v>470</v>
      </c>
      <c r="G371" s="22">
        <v>17816.25</v>
      </c>
      <c r="H371">
        <f t="shared" si="11"/>
        <v>1.1008809885230319E-2</v>
      </c>
    </row>
    <row r="372" spans="1:8" x14ac:dyDescent="0.45">
      <c r="A372" s="21" t="s">
        <v>470</v>
      </c>
      <c r="B372" s="22">
        <v>753.25</v>
      </c>
      <c r="D372">
        <f t="shared" si="10"/>
        <v>1.6874789065136685E-2</v>
      </c>
      <c r="F372" s="21" t="s">
        <v>471</v>
      </c>
      <c r="G372" s="22">
        <v>17718.349999999999</v>
      </c>
      <c r="H372">
        <f t="shared" si="11"/>
        <v>-5.4949835122431179E-3</v>
      </c>
    </row>
    <row r="373" spans="1:8" x14ac:dyDescent="0.45">
      <c r="A373" s="21" t="s">
        <v>471</v>
      </c>
      <c r="B373" s="22">
        <v>753.4</v>
      </c>
      <c r="D373">
        <f t="shared" si="10"/>
        <v>1.9913707268500136E-4</v>
      </c>
      <c r="F373" s="21" t="s">
        <v>472</v>
      </c>
      <c r="G373" s="22">
        <v>17629.8</v>
      </c>
      <c r="H373">
        <f t="shared" si="11"/>
        <v>-4.997643685783342E-3</v>
      </c>
    </row>
    <row r="374" spans="1:8" x14ac:dyDescent="0.45">
      <c r="A374" s="21" t="s">
        <v>472</v>
      </c>
      <c r="B374" s="22">
        <v>783.55</v>
      </c>
      <c r="D374">
        <f t="shared" si="10"/>
        <v>4.0018582426333923E-2</v>
      </c>
      <c r="F374" s="21" t="s">
        <v>473</v>
      </c>
      <c r="G374" s="22">
        <v>17327.349999999999</v>
      </c>
      <c r="H374">
        <f t="shared" si="11"/>
        <v>-1.7155611521401305E-2</v>
      </c>
    </row>
    <row r="375" spans="1:8" x14ac:dyDescent="0.45">
      <c r="A375" s="21" t="s">
        <v>473</v>
      </c>
      <c r="B375" s="22">
        <v>771.65</v>
      </c>
      <c r="D375">
        <f t="shared" si="10"/>
        <v>-1.5187288622295932E-2</v>
      </c>
      <c r="F375" s="21" t="s">
        <v>474</v>
      </c>
      <c r="G375" s="22">
        <v>17016.3</v>
      </c>
      <c r="H375">
        <f t="shared" si="11"/>
        <v>-1.7951388989083692E-2</v>
      </c>
    </row>
    <row r="376" spans="1:8" x14ac:dyDescent="0.45">
      <c r="A376" s="21" t="s">
        <v>474</v>
      </c>
      <c r="B376" s="22">
        <v>769.4</v>
      </c>
      <c r="D376">
        <f t="shared" si="10"/>
        <v>-2.9158297155446123E-3</v>
      </c>
      <c r="F376" s="21" t="s">
        <v>475</v>
      </c>
      <c r="G376" s="22">
        <v>17007.400000000001</v>
      </c>
      <c r="H376">
        <f t="shared" si="11"/>
        <v>-5.2302792028806604E-4</v>
      </c>
    </row>
    <row r="377" spans="1:8" x14ac:dyDescent="0.45">
      <c r="A377" s="21" t="s">
        <v>475</v>
      </c>
      <c r="B377" s="22">
        <v>766.1</v>
      </c>
      <c r="D377">
        <f t="shared" si="10"/>
        <v>-4.2890564075902709E-3</v>
      </c>
      <c r="F377" s="21" t="s">
        <v>476</v>
      </c>
      <c r="G377" s="22">
        <v>16858.599999999999</v>
      </c>
      <c r="H377">
        <f t="shared" si="11"/>
        <v>-8.7491327304586759E-3</v>
      </c>
    </row>
    <row r="378" spans="1:8" x14ac:dyDescent="0.45">
      <c r="A378" s="21" t="s">
        <v>476</v>
      </c>
      <c r="B378" s="22">
        <v>758.45</v>
      </c>
      <c r="D378">
        <f t="shared" si="10"/>
        <v>-9.9856415611538664E-3</v>
      </c>
      <c r="F378" s="21" t="s">
        <v>477</v>
      </c>
      <c r="G378" s="22">
        <v>16818.099999999999</v>
      </c>
      <c r="H378">
        <f t="shared" si="11"/>
        <v>-2.4023347134400248E-3</v>
      </c>
    </row>
    <row r="379" spans="1:8" x14ac:dyDescent="0.45">
      <c r="A379" s="21" t="s">
        <v>477</v>
      </c>
      <c r="B379" s="22">
        <v>746.2</v>
      </c>
      <c r="D379">
        <f t="shared" si="10"/>
        <v>-1.6151361329026302E-2</v>
      </c>
      <c r="F379" s="21" t="s">
        <v>478</v>
      </c>
      <c r="G379" s="22">
        <v>17094.349999999999</v>
      </c>
      <c r="H379">
        <f t="shared" si="11"/>
        <v>1.6425755584756899E-2</v>
      </c>
    </row>
    <row r="380" spans="1:8" x14ac:dyDescent="0.45">
      <c r="A380" s="21" t="s">
        <v>478</v>
      </c>
      <c r="B380" s="22">
        <v>751.15</v>
      </c>
      <c r="D380">
        <f t="shared" si="10"/>
        <v>6.6336102921467858E-3</v>
      </c>
      <c r="F380" s="23">
        <v>44630</v>
      </c>
      <c r="G380" s="22">
        <v>16887.349999999999</v>
      </c>
      <c r="H380">
        <f t="shared" si="11"/>
        <v>-1.2109264172080249E-2</v>
      </c>
    </row>
    <row r="381" spans="1:8" x14ac:dyDescent="0.45">
      <c r="A381" s="23">
        <v>44630</v>
      </c>
      <c r="B381" s="22">
        <v>726.9</v>
      </c>
      <c r="D381">
        <f t="shared" si="10"/>
        <v>-3.2283831458430411E-2</v>
      </c>
      <c r="F381" s="23">
        <v>44661</v>
      </c>
      <c r="G381" s="22">
        <v>17274.3</v>
      </c>
      <c r="H381">
        <f t="shared" si="11"/>
        <v>2.2913601009039355E-2</v>
      </c>
    </row>
    <row r="382" spans="1:8" x14ac:dyDescent="0.45">
      <c r="A382" s="23">
        <v>44661</v>
      </c>
      <c r="B382" s="22">
        <v>742.4</v>
      </c>
      <c r="D382">
        <f t="shared" si="10"/>
        <v>2.1323428256981705E-2</v>
      </c>
      <c r="F382" s="23">
        <v>44722</v>
      </c>
      <c r="G382" s="22">
        <v>17331.8</v>
      </c>
      <c r="H382">
        <f t="shared" si="11"/>
        <v>3.3286442865991675E-3</v>
      </c>
    </row>
    <row r="383" spans="1:8" x14ac:dyDescent="0.45">
      <c r="A383" s="23">
        <v>44722</v>
      </c>
      <c r="B383" s="22">
        <v>740.15</v>
      </c>
      <c r="D383">
        <f t="shared" si="10"/>
        <v>-3.0307112068965517E-3</v>
      </c>
      <c r="F383" s="23">
        <v>44844</v>
      </c>
      <c r="G383" s="22">
        <v>17241</v>
      </c>
      <c r="H383">
        <f t="shared" si="11"/>
        <v>-5.2389249818252737E-3</v>
      </c>
    </row>
    <row r="384" spans="1:8" x14ac:dyDescent="0.45">
      <c r="A384" s="23">
        <v>44752</v>
      </c>
      <c r="B384" s="22">
        <v>734.9</v>
      </c>
      <c r="D384">
        <f t="shared" si="10"/>
        <v>-7.0931567925420526E-3</v>
      </c>
      <c r="F384" s="23">
        <v>44875</v>
      </c>
      <c r="G384" s="22">
        <v>16983.55</v>
      </c>
      <c r="H384">
        <f t="shared" si="11"/>
        <v>-1.4932428513427338E-2</v>
      </c>
    </row>
    <row r="385" spans="1:8" x14ac:dyDescent="0.45">
      <c r="A385" s="23">
        <v>44844</v>
      </c>
      <c r="B385" s="22">
        <v>727.4</v>
      </c>
      <c r="D385">
        <f t="shared" si="10"/>
        <v>-1.0205470131990748E-2</v>
      </c>
      <c r="F385" s="23">
        <v>44905</v>
      </c>
      <c r="G385" s="22">
        <v>17123.599999999999</v>
      </c>
      <c r="H385">
        <f t="shared" si="11"/>
        <v>8.2462147195373914E-3</v>
      </c>
    </row>
    <row r="386" spans="1:8" x14ac:dyDescent="0.45">
      <c r="A386" s="23">
        <v>44875</v>
      </c>
      <c r="B386" s="22">
        <v>716.35</v>
      </c>
      <c r="D386">
        <f t="shared" si="10"/>
        <v>-1.5191091558977117E-2</v>
      </c>
      <c r="F386" s="21" t="s">
        <v>479</v>
      </c>
      <c r="G386" s="22">
        <v>17014.349999999999</v>
      </c>
      <c r="H386">
        <f t="shared" si="11"/>
        <v>-6.3800836272746393E-3</v>
      </c>
    </row>
    <row r="387" spans="1:8" x14ac:dyDescent="0.45">
      <c r="A387" s="23">
        <v>44905</v>
      </c>
      <c r="B387" s="22">
        <v>723.7</v>
      </c>
      <c r="D387">
        <f t="shared" si="10"/>
        <v>1.0260347595449183E-2</v>
      </c>
      <c r="F387" s="21" t="s">
        <v>480</v>
      </c>
      <c r="G387" s="22">
        <v>17185.7</v>
      </c>
      <c r="H387">
        <f t="shared" si="11"/>
        <v>1.0070910731235821E-2</v>
      </c>
    </row>
    <row r="388" spans="1:8" x14ac:dyDescent="0.45">
      <c r="A388" s="21" t="s">
        <v>479</v>
      </c>
      <c r="B388" s="22">
        <v>729.35</v>
      </c>
      <c r="D388">
        <f t="shared" ref="D388:D451" si="12">(B388-B387)/B387</f>
        <v>7.807102390493266E-3</v>
      </c>
      <c r="F388" s="21" t="s">
        <v>481</v>
      </c>
      <c r="G388" s="22">
        <v>17311.8</v>
      </c>
      <c r="H388">
        <f t="shared" si="11"/>
        <v>7.3374957086414019E-3</v>
      </c>
    </row>
    <row r="389" spans="1:8" x14ac:dyDescent="0.45">
      <c r="A389" s="21" t="s">
        <v>480</v>
      </c>
      <c r="B389" s="22">
        <v>725.5</v>
      </c>
      <c r="D389">
        <f t="shared" si="12"/>
        <v>-5.278672790841191E-3</v>
      </c>
      <c r="F389" s="21" t="s">
        <v>482</v>
      </c>
      <c r="G389" s="22">
        <v>17486.95</v>
      </c>
      <c r="H389">
        <f t="shared" ref="H389:H452" si="13">(G389-G388)/G388</f>
        <v>1.0117376587067866E-2</v>
      </c>
    </row>
    <row r="390" spans="1:8" x14ac:dyDescent="0.45">
      <c r="A390" s="21" t="s">
        <v>481</v>
      </c>
      <c r="B390" s="22">
        <v>725.3</v>
      </c>
      <c r="D390">
        <f t="shared" si="12"/>
        <v>-2.7567195037911163E-4</v>
      </c>
      <c r="F390" s="21" t="s">
        <v>483</v>
      </c>
      <c r="G390" s="22">
        <v>17512.25</v>
      </c>
      <c r="H390">
        <f t="shared" si="13"/>
        <v>1.4467931800570867E-3</v>
      </c>
    </row>
    <row r="391" spans="1:8" x14ac:dyDescent="0.45">
      <c r="A391" s="21" t="s">
        <v>482</v>
      </c>
      <c r="B391" s="22">
        <v>746</v>
      </c>
      <c r="D391">
        <f t="shared" si="12"/>
        <v>2.8539914518130493E-2</v>
      </c>
      <c r="F391" s="21" t="s">
        <v>484</v>
      </c>
      <c r="G391" s="22">
        <v>17563.95</v>
      </c>
      <c r="H391">
        <f t="shared" si="13"/>
        <v>2.9522191608731445E-3</v>
      </c>
    </row>
    <row r="392" spans="1:8" x14ac:dyDescent="0.45">
      <c r="A392" s="21" t="s">
        <v>483</v>
      </c>
      <c r="B392" s="22">
        <v>773.05</v>
      </c>
      <c r="D392">
        <f t="shared" si="12"/>
        <v>3.6260053619302887E-2</v>
      </c>
      <c r="F392" s="21" t="s">
        <v>485</v>
      </c>
      <c r="G392" s="22">
        <v>17576.3</v>
      </c>
      <c r="H392">
        <f t="shared" si="13"/>
        <v>7.0314479373936639E-4</v>
      </c>
    </row>
    <row r="393" spans="1:8" x14ac:dyDescent="0.45">
      <c r="A393" s="21" t="s">
        <v>484</v>
      </c>
      <c r="B393" s="22">
        <v>769.8</v>
      </c>
      <c r="D393">
        <f t="shared" si="12"/>
        <v>-4.2041265118685726E-3</v>
      </c>
      <c r="F393" s="21" t="s">
        <v>486</v>
      </c>
      <c r="G393" s="22">
        <v>17730.75</v>
      </c>
      <c r="H393">
        <f t="shared" si="13"/>
        <v>8.7874012164107767E-3</v>
      </c>
    </row>
    <row r="394" spans="1:8" x14ac:dyDescent="0.45">
      <c r="A394" s="21" t="s">
        <v>485</v>
      </c>
      <c r="B394" s="22">
        <v>752.3</v>
      </c>
      <c r="D394">
        <f t="shared" si="12"/>
        <v>-2.2733177448687972E-2</v>
      </c>
      <c r="F394" s="21" t="s">
        <v>487</v>
      </c>
      <c r="G394" s="22">
        <v>17656.349999999999</v>
      </c>
      <c r="H394">
        <f t="shared" si="13"/>
        <v>-4.1960999957701426E-3</v>
      </c>
    </row>
    <row r="395" spans="1:8" x14ac:dyDescent="0.45">
      <c r="A395" s="21" t="s">
        <v>486</v>
      </c>
      <c r="B395" s="22">
        <v>769.3</v>
      </c>
      <c r="D395">
        <f t="shared" si="12"/>
        <v>2.2597368071248174E-2</v>
      </c>
      <c r="F395" s="21" t="s">
        <v>488</v>
      </c>
      <c r="G395" s="22">
        <v>17736.95</v>
      </c>
      <c r="H395">
        <f t="shared" si="13"/>
        <v>4.564929897742296E-3</v>
      </c>
    </row>
    <row r="396" spans="1:8" x14ac:dyDescent="0.45">
      <c r="A396" s="21" t="s">
        <v>487</v>
      </c>
      <c r="B396" s="22">
        <v>776.8</v>
      </c>
      <c r="D396">
        <f t="shared" si="12"/>
        <v>9.7491225789678934E-3</v>
      </c>
      <c r="F396" s="21" t="s">
        <v>489</v>
      </c>
      <c r="G396" s="22">
        <v>17786.8</v>
      </c>
      <c r="H396">
        <f t="shared" si="13"/>
        <v>2.8105170280120621E-3</v>
      </c>
    </row>
    <row r="397" spans="1:8" x14ac:dyDescent="0.45">
      <c r="A397" s="21" t="s">
        <v>488</v>
      </c>
      <c r="B397" s="22">
        <v>782.1</v>
      </c>
      <c r="D397">
        <f t="shared" si="12"/>
        <v>6.8228630278064735E-3</v>
      </c>
      <c r="F397" s="21" t="s">
        <v>490</v>
      </c>
      <c r="G397" s="22">
        <v>18012.2</v>
      </c>
      <c r="H397">
        <f t="shared" si="13"/>
        <v>1.2672318798209991E-2</v>
      </c>
    </row>
    <row r="398" spans="1:8" x14ac:dyDescent="0.45">
      <c r="A398" s="21" t="s">
        <v>489</v>
      </c>
      <c r="B398" s="22">
        <v>780.1</v>
      </c>
      <c r="D398">
        <f t="shared" si="12"/>
        <v>-2.5572177470911646E-3</v>
      </c>
      <c r="F398" s="23">
        <v>44572</v>
      </c>
      <c r="G398" s="22">
        <v>18145.400000000001</v>
      </c>
      <c r="H398">
        <f t="shared" si="13"/>
        <v>7.3949878415740843E-3</v>
      </c>
    </row>
    <row r="399" spans="1:8" x14ac:dyDescent="0.45">
      <c r="A399" s="21" t="s">
        <v>490</v>
      </c>
      <c r="B399" s="22">
        <v>759.95</v>
      </c>
      <c r="D399">
        <f t="shared" si="12"/>
        <v>-2.5830021792077908E-2</v>
      </c>
      <c r="F399" s="23">
        <v>44603</v>
      </c>
      <c r="G399" s="22">
        <v>18082.849999999999</v>
      </c>
      <c r="H399">
        <f t="shared" si="13"/>
        <v>-3.4471546507656432E-3</v>
      </c>
    </row>
    <row r="400" spans="1:8" x14ac:dyDescent="0.45">
      <c r="A400" s="23">
        <v>44572</v>
      </c>
      <c r="B400" s="22">
        <v>760.85</v>
      </c>
      <c r="D400">
        <f t="shared" si="12"/>
        <v>1.1842884400289193E-3</v>
      </c>
      <c r="F400" s="23">
        <v>44631</v>
      </c>
      <c r="G400" s="22">
        <v>18052.7</v>
      </c>
      <c r="H400">
        <f t="shared" si="13"/>
        <v>-1.6673256704555874E-3</v>
      </c>
    </row>
    <row r="401" spans="1:8" x14ac:dyDescent="0.45">
      <c r="A401" s="23">
        <v>44603</v>
      </c>
      <c r="B401" s="22">
        <v>761.75</v>
      </c>
      <c r="D401">
        <f t="shared" si="12"/>
        <v>1.1828875599657978E-3</v>
      </c>
      <c r="F401" s="23">
        <v>44662</v>
      </c>
      <c r="G401" s="22">
        <v>18117.150000000001</v>
      </c>
      <c r="H401">
        <f t="shared" si="13"/>
        <v>3.5701030870728878E-3</v>
      </c>
    </row>
    <row r="402" spans="1:8" x14ac:dyDescent="0.45">
      <c r="A402" s="23">
        <v>44631</v>
      </c>
      <c r="B402" s="22">
        <v>747.15</v>
      </c>
      <c r="D402">
        <f t="shared" si="12"/>
        <v>-1.9166393173613419E-2</v>
      </c>
      <c r="F402" s="23">
        <v>44753</v>
      </c>
      <c r="G402" s="22">
        <v>18202.8</v>
      </c>
      <c r="H402">
        <f t="shared" si="13"/>
        <v>4.7275647659812837E-3</v>
      </c>
    </row>
    <row r="403" spans="1:8" x14ac:dyDescent="0.45">
      <c r="A403" s="23">
        <v>44662</v>
      </c>
      <c r="B403" s="22">
        <v>749</v>
      </c>
      <c r="D403">
        <f t="shared" si="12"/>
        <v>2.4760757545339261E-3</v>
      </c>
      <c r="F403" s="23">
        <v>44815</v>
      </c>
      <c r="G403" s="22">
        <v>18157</v>
      </c>
      <c r="H403">
        <f t="shared" si="13"/>
        <v>-2.5160964247258263E-3</v>
      </c>
    </row>
    <row r="404" spans="1:8" x14ac:dyDescent="0.45">
      <c r="A404" s="23">
        <v>44753</v>
      </c>
      <c r="B404" s="22">
        <v>746.3</v>
      </c>
      <c r="D404">
        <f t="shared" si="12"/>
        <v>-3.6048064085447869E-3</v>
      </c>
      <c r="F404" s="23">
        <v>44845</v>
      </c>
      <c r="G404" s="22">
        <v>18028.2</v>
      </c>
      <c r="H404">
        <f t="shared" si="13"/>
        <v>-7.0936828771272385E-3</v>
      </c>
    </row>
    <row r="405" spans="1:8" x14ac:dyDescent="0.45">
      <c r="A405" s="23">
        <v>44815</v>
      </c>
      <c r="B405" s="22">
        <v>745.25</v>
      </c>
      <c r="D405">
        <f t="shared" si="12"/>
        <v>-1.4069409084817828E-3</v>
      </c>
      <c r="F405" s="23">
        <v>44876</v>
      </c>
      <c r="G405" s="22">
        <v>18349.7</v>
      </c>
      <c r="H405">
        <f t="shared" si="13"/>
        <v>1.7833172474234809E-2</v>
      </c>
    </row>
    <row r="406" spans="1:8" x14ac:dyDescent="0.45">
      <c r="A406" s="23">
        <v>44845</v>
      </c>
      <c r="B406" s="22">
        <v>746.4</v>
      </c>
      <c r="D406">
        <f t="shared" si="12"/>
        <v>1.5431063401542802E-3</v>
      </c>
      <c r="F406" s="21" t="s">
        <v>491</v>
      </c>
      <c r="G406" s="22">
        <v>18329.150000000001</v>
      </c>
      <c r="H406">
        <f t="shared" si="13"/>
        <v>-1.1199093173184995E-3</v>
      </c>
    </row>
    <row r="407" spans="1:8" x14ac:dyDescent="0.45">
      <c r="A407" s="23">
        <v>44876</v>
      </c>
      <c r="B407" s="22">
        <v>745.2</v>
      </c>
      <c r="D407">
        <f t="shared" si="12"/>
        <v>-1.6077170418005518E-3</v>
      </c>
      <c r="F407" s="21" t="s">
        <v>492</v>
      </c>
      <c r="G407" s="22">
        <v>18403.400000000001</v>
      </c>
      <c r="H407">
        <f t="shared" si="13"/>
        <v>4.0509243472828796E-3</v>
      </c>
    </row>
    <row r="408" spans="1:8" x14ac:dyDescent="0.45">
      <c r="A408" s="21" t="s">
        <v>491</v>
      </c>
      <c r="B408" s="22">
        <v>743.85</v>
      </c>
      <c r="D408">
        <f t="shared" si="12"/>
        <v>-1.8115942028985811E-3</v>
      </c>
      <c r="F408" s="21" t="s">
        <v>493</v>
      </c>
      <c r="G408" s="22">
        <v>18409.650000000001</v>
      </c>
      <c r="H408">
        <f t="shared" si="13"/>
        <v>3.3961115880761162E-4</v>
      </c>
    </row>
    <row r="409" spans="1:8" x14ac:dyDescent="0.45">
      <c r="A409" s="21" t="s">
        <v>492</v>
      </c>
      <c r="B409" s="22">
        <v>744.05</v>
      </c>
      <c r="D409">
        <f t="shared" si="12"/>
        <v>2.6887141224700114E-4</v>
      </c>
      <c r="F409" s="21" t="s">
        <v>494</v>
      </c>
      <c r="G409" s="22">
        <v>18343.900000000001</v>
      </c>
      <c r="H409">
        <f t="shared" si="13"/>
        <v>-3.571496470601016E-3</v>
      </c>
    </row>
    <row r="410" spans="1:8" x14ac:dyDescent="0.45">
      <c r="A410" s="21" t="s">
        <v>493</v>
      </c>
      <c r="B410" s="22">
        <v>740.85</v>
      </c>
      <c r="D410">
        <f t="shared" si="12"/>
        <v>-4.3007862374839483E-3</v>
      </c>
      <c r="F410" s="21" t="s">
        <v>495</v>
      </c>
      <c r="G410" s="22">
        <v>18307.650000000001</v>
      </c>
      <c r="H410">
        <f t="shared" si="13"/>
        <v>-1.9761337556353882E-3</v>
      </c>
    </row>
    <row r="411" spans="1:8" x14ac:dyDescent="0.45">
      <c r="A411" s="21" t="s">
        <v>494</v>
      </c>
      <c r="B411" s="22">
        <v>740.05</v>
      </c>
      <c r="D411">
        <f t="shared" si="12"/>
        <v>-1.0798407234933769E-3</v>
      </c>
      <c r="F411" s="21" t="s">
        <v>496</v>
      </c>
      <c r="G411" s="22">
        <v>18159.95</v>
      </c>
      <c r="H411">
        <f t="shared" si="13"/>
        <v>-8.0676657025888481E-3</v>
      </c>
    </row>
    <row r="412" spans="1:8" x14ac:dyDescent="0.45">
      <c r="A412" s="21" t="s">
        <v>495</v>
      </c>
      <c r="B412" s="22">
        <v>734.6</v>
      </c>
      <c r="D412">
        <f t="shared" si="12"/>
        <v>-7.3643672724814976E-3</v>
      </c>
      <c r="F412" s="21" t="s">
        <v>497</v>
      </c>
      <c r="G412" s="22">
        <v>18244.2</v>
      </c>
      <c r="H412">
        <f t="shared" si="13"/>
        <v>4.6393299541022965E-3</v>
      </c>
    </row>
    <row r="413" spans="1:8" x14ac:dyDescent="0.45">
      <c r="A413" s="21" t="s">
        <v>496</v>
      </c>
      <c r="B413" s="22">
        <v>730.85</v>
      </c>
      <c r="D413">
        <f t="shared" si="12"/>
        <v>-5.104818949087939E-3</v>
      </c>
      <c r="F413" s="21" t="s">
        <v>498</v>
      </c>
      <c r="G413" s="22">
        <v>18267.25</v>
      </c>
      <c r="H413">
        <f t="shared" si="13"/>
        <v>1.2634152223720016E-3</v>
      </c>
    </row>
    <row r="414" spans="1:8" x14ac:dyDescent="0.45">
      <c r="A414" s="21" t="s">
        <v>497</v>
      </c>
      <c r="B414" s="22">
        <v>728.5</v>
      </c>
      <c r="D414">
        <f t="shared" si="12"/>
        <v>-3.2154340836013174E-3</v>
      </c>
      <c r="F414" s="21" t="s">
        <v>499</v>
      </c>
      <c r="G414" s="22">
        <v>18484.099999999999</v>
      </c>
      <c r="H414">
        <f t="shared" si="13"/>
        <v>1.1870971273727493E-2</v>
      </c>
    </row>
    <row r="415" spans="1:8" x14ac:dyDescent="0.45">
      <c r="A415" s="21" t="s">
        <v>498</v>
      </c>
      <c r="B415" s="22">
        <v>729.05</v>
      </c>
      <c r="D415">
        <f t="shared" si="12"/>
        <v>7.5497597803699998E-4</v>
      </c>
      <c r="F415" s="21" t="s">
        <v>500</v>
      </c>
      <c r="G415" s="22">
        <v>18512.75</v>
      </c>
      <c r="H415">
        <f t="shared" si="13"/>
        <v>1.5499807943043728E-3</v>
      </c>
    </row>
    <row r="416" spans="1:8" x14ac:dyDescent="0.45">
      <c r="A416" s="21" t="s">
        <v>499</v>
      </c>
      <c r="B416" s="22">
        <v>727.3</v>
      </c>
      <c r="D416">
        <f t="shared" si="12"/>
        <v>-2.400384061449832E-3</v>
      </c>
      <c r="F416" s="21" t="s">
        <v>501</v>
      </c>
      <c r="G416" s="22">
        <v>18562.75</v>
      </c>
      <c r="H416">
        <f t="shared" si="13"/>
        <v>2.7008413120687092E-3</v>
      </c>
    </row>
    <row r="417" spans="1:8" x14ac:dyDescent="0.45">
      <c r="A417" s="21" t="s">
        <v>500</v>
      </c>
      <c r="B417" s="22">
        <v>726.7</v>
      </c>
      <c r="D417">
        <f t="shared" si="12"/>
        <v>-8.249690636599877E-4</v>
      </c>
      <c r="F417" s="21" t="s">
        <v>502</v>
      </c>
      <c r="G417" s="22">
        <v>18618.05</v>
      </c>
      <c r="H417">
        <f t="shared" si="13"/>
        <v>2.9790844567749537E-3</v>
      </c>
    </row>
    <row r="418" spans="1:8" x14ac:dyDescent="0.45">
      <c r="A418" s="21" t="s">
        <v>501</v>
      </c>
      <c r="B418" s="22">
        <v>730.65</v>
      </c>
      <c r="D418">
        <f t="shared" si="12"/>
        <v>5.4355304802531056E-3</v>
      </c>
      <c r="F418" s="21" t="s">
        <v>503</v>
      </c>
      <c r="G418" s="22">
        <v>18758.349999999999</v>
      </c>
      <c r="H418">
        <f t="shared" si="13"/>
        <v>7.5356978845797108E-3</v>
      </c>
    </row>
    <row r="419" spans="1:8" x14ac:dyDescent="0.45">
      <c r="A419" s="21" t="s">
        <v>502</v>
      </c>
      <c r="B419" s="22">
        <v>727.05</v>
      </c>
      <c r="D419">
        <f t="shared" si="12"/>
        <v>-4.9271196879491176E-3</v>
      </c>
      <c r="F419" s="23">
        <v>44573</v>
      </c>
      <c r="G419" s="22">
        <v>18812.5</v>
      </c>
      <c r="H419">
        <f t="shared" si="13"/>
        <v>2.8867144498317529E-3</v>
      </c>
    </row>
    <row r="420" spans="1:8" x14ac:dyDescent="0.45">
      <c r="A420" s="21" t="s">
        <v>503</v>
      </c>
      <c r="B420" s="22">
        <v>719.05</v>
      </c>
      <c r="D420">
        <f t="shared" si="12"/>
        <v>-1.1003369781995736E-2</v>
      </c>
      <c r="F420" s="23">
        <v>44604</v>
      </c>
      <c r="G420" s="22">
        <v>18696.099999999999</v>
      </c>
      <c r="H420">
        <f t="shared" si="13"/>
        <v>-6.1873754152824692E-3</v>
      </c>
    </row>
    <row r="421" spans="1:8" x14ac:dyDescent="0.45">
      <c r="A421" s="23">
        <v>44573</v>
      </c>
      <c r="B421" s="22">
        <v>715.6</v>
      </c>
      <c r="D421">
        <f t="shared" si="12"/>
        <v>-4.7979973576245489E-3</v>
      </c>
      <c r="F421" s="23">
        <v>44693</v>
      </c>
      <c r="G421" s="22">
        <v>18701.05</v>
      </c>
      <c r="H421">
        <f t="shared" si="13"/>
        <v>2.6476109990857601E-4</v>
      </c>
    </row>
    <row r="422" spans="1:8" x14ac:dyDescent="0.45">
      <c r="A422" s="23">
        <v>44604</v>
      </c>
      <c r="B422" s="22">
        <v>719.6</v>
      </c>
      <c r="D422">
        <f t="shared" si="12"/>
        <v>5.5897149245388482E-3</v>
      </c>
      <c r="F422" s="23">
        <v>44724</v>
      </c>
      <c r="G422" s="22">
        <v>18642.75</v>
      </c>
      <c r="H422">
        <f t="shared" si="13"/>
        <v>-3.1174720136034756E-3</v>
      </c>
    </row>
    <row r="423" spans="1:8" x14ac:dyDescent="0.45">
      <c r="A423" s="23">
        <v>44693</v>
      </c>
      <c r="B423" s="22">
        <v>719</v>
      </c>
      <c r="D423">
        <f t="shared" si="12"/>
        <v>-8.3379655364094324E-4</v>
      </c>
      <c r="F423" s="23">
        <v>44754</v>
      </c>
      <c r="G423" s="22">
        <v>18560.5</v>
      </c>
      <c r="H423">
        <f t="shared" si="13"/>
        <v>-4.4119027503989484E-3</v>
      </c>
    </row>
    <row r="424" spans="1:8" x14ac:dyDescent="0.45">
      <c r="A424" s="23">
        <v>44724</v>
      </c>
      <c r="B424" s="22">
        <v>719.25</v>
      </c>
      <c r="D424">
        <f t="shared" si="12"/>
        <v>3.4770514603616132E-4</v>
      </c>
      <c r="F424" s="23">
        <v>44785</v>
      </c>
      <c r="G424" s="22">
        <v>18609.349999999999</v>
      </c>
      <c r="H424">
        <f t="shared" si="13"/>
        <v>2.6319334069663286E-3</v>
      </c>
    </row>
    <row r="425" spans="1:8" x14ac:dyDescent="0.45">
      <c r="A425" s="23">
        <v>44754</v>
      </c>
      <c r="B425" s="22">
        <v>718.6</v>
      </c>
      <c r="D425">
        <f t="shared" si="12"/>
        <v>-9.0371915189430278E-4</v>
      </c>
      <c r="F425" s="23">
        <v>44816</v>
      </c>
      <c r="G425" s="22">
        <v>18496.599999999999</v>
      </c>
      <c r="H425">
        <f t="shared" si="13"/>
        <v>-6.0587822788007112E-3</v>
      </c>
    </row>
    <row r="426" spans="1:8" x14ac:dyDescent="0.45">
      <c r="A426" s="23">
        <v>44785</v>
      </c>
      <c r="B426" s="22">
        <v>717.55</v>
      </c>
      <c r="D426">
        <f t="shared" si="12"/>
        <v>-1.4611745059839524E-3</v>
      </c>
      <c r="F426" s="23">
        <v>44907</v>
      </c>
      <c r="G426" s="22">
        <v>18497.150000000001</v>
      </c>
      <c r="H426">
        <f t="shared" si="13"/>
        <v>2.9735194576457857E-5</v>
      </c>
    </row>
    <row r="427" spans="1:8" x14ac:dyDescent="0.45">
      <c r="A427" s="23">
        <v>44816</v>
      </c>
      <c r="B427" s="22">
        <v>715.8</v>
      </c>
      <c r="D427">
        <f t="shared" si="12"/>
        <v>-2.4388544352309943E-3</v>
      </c>
      <c r="F427" s="21" t="s">
        <v>504</v>
      </c>
      <c r="G427" s="22">
        <v>18608</v>
      </c>
      <c r="H427">
        <f t="shared" si="13"/>
        <v>5.9928151093546055E-3</v>
      </c>
    </row>
    <row r="428" spans="1:8" x14ac:dyDescent="0.45">
      <c r="A428" s="23">
        <v>44907</v>
      </c>
      <c r="B428" s="22">
        <v>715</v>
      </c>
      <c r="D428">
        <f t="shared" si="12"/>
        <v>-1.1176306230790088E-3</v>
      </c>
      <c r="F428" s="21" t="s">
        <v>505</v>
      </c>
      <c r="G428" s="22">
        <v>18660.3</v>
      </c>
      <c r="H428">
        <f t="shared" si="13"/>
        <v>2.8106190885640193E-3</v>
      </c>
    </row>
    <row r="429" spans="1:8" x14ac:dyDescent="0.45">
      <c r="A429" s="21" t="s">
        <v>504</v>
      </c>
      <c r="B429" s="22">
        <v>715.05</v>
      </c>
      <c r="D429">
        <f t="shared" si="12"/>
        <v>6.9930069930006328E-5</v>
      </c>
      <c r="F429" s="21" t="s">
        <v>506</v>
      </c>
      <c r="G429" s="22">
        <v>18414.900000000001</v>
      </c>
      <c r="H429">
        <f t="shared" si="13"/>
        <v>-1.3150913972444056E-2</v>
      </c>
    </row>
    <row r="430" spans="1:8" x14ac:dyDescent="0.45">
      <c r="A430" s="21" t="s">
        <v>505</v>
      </c>
      <c r="B430" s="22">
        <v>713.05</v>
      </c>
      <c r="D430">
        <f t="shared" si="12"/>
        <v>-2.7970072022935463E-3</v>
      </c>
      <c r="F430" s="21" t="s">
        <v>507</v>
      </c>
      <c r="G430" s="22">
        <v>18269</v>
      </c>
      <c r="H430">
        <f t="shared" si="13"/>
        <v>-7.9229319735649641E-3</v>
      </c>
    </row>
    <row r="431" spans="1:8" x14ac:dyDescent="0.45">
      <c r="A431" s="21" t="s">
        <v>506</v>
      </c>
      <c r="B431" s="22">
        <v>702.2</v>
      </c>
      <c r="D431">
        <f t="shared" si="12"/>
        <v>-1.5216324240936694E-2</v>
      </c>
      <c r="F431" s="21" t="s">
        <v>508</v>
      </c>
      <c r="G431" s="22">
        <v>18420.45</v>
      </c>
      <c r="H431">
        <f t="shared" si="13"/>
        <v>8.2899994526247044E-3</v>
      </c>
    </row>
    <row r="432" spans="1:8" x14ac:dyDescent="0.45">
      <c r="A432" s="21" t="s">
        <v>507</v>
      </c>
      <c r="B432" s="22">
        <v>691.55</v>
      </c>
      <c r="D432">
        <f t="shared" si="12"/>
        <v>-1.5166619196810154E-2</v>
      </c>
      <c r="F432" s="21" t="s">
        <v>509</v>
      </c>
      <c r="G432" s="22">
        <v>18385.3</v>
      </c>
      <c r="H432">
        <f t="shared" si="13"/>
        <v>-1.9082052827157562E-3</v>
      </c>
    </row>
    <row r="433" spans="1:8" x14ac:dyDescent="0.45">
      <c r="A433" s="21" t="s">
        <v>508</v>
      </c>
      <c r="B433" s="22">
        <v>686.65</v>
      </c>
      <c r="D433">
        <f t="shared" si="12"/>
        <v>-7.0855324994577073E-3</v>
      </c>
      <c r="F433" s="21" t="s">
        <v>510</v>
      </c>
      <c r="G433" s="22">
        <v>18199.099999999999</v>
      </c>
      <c r="H433">
        <f t="shared" si="13"/>
        <v>-1.0127656334136551E-2</v>
      </c>
    </row>
    <row r="434" spans="1:8" x14ac:dyDescent="0.45">
      <c r="A434" s="21" t="s">
        <v>509</v>
      </c>
      <c r="B434" s="22">
        <v>685.25</v>
      </c>
      <c r="D434">
        <f t="shared" si="12"/>
        <v>-2.0388844389426599E-3</v>
      </c>
      <c r="F434" s="21" t="s">
        <v>511</v>
      </c>
      <c r="G434" s="22">
        <v>18127.349999999999</v>
      </c>
      <c r="H434">
        <f t="shared" si="13"/>
        <v>-3.9425026512300062E-3</v>
      </c>
    </row>
    <row r="435" spans="1:8" x14ac:dyDescent="0.45">
      <c r="A435" s="21" t="s">
        <v>510</v>
      </c>
      <c r="B435" s="22">
        <v>683.65</v>
      </c>
      <c r="D435">
        <f t="shared" si="12"/>
        <v>-2.3349142648668702E-3</v>
      </c>
      <c r="F435" s="21" t="s">
        <v>512</v>
      </c>
      <c r="G435" s="22">
        <v>17806.8</v>
      </c>
      <c r="H435">
        <f t="shared" si="13"/>
        <v>-1.7683224519855319E-2</v>
      </c>
    </row>
    <row r="436" spans="1:8" x14ac:dyDescent="0.45">
      <c r="A436" s="21" t="s">
        <v>511</v>
      </c>
      <c r="B436" s="22">
        <v>670.3</v>
      </c>
      <c r="D436">
        <f t="shared" si="12"/>
        <v>-1.9527536019893255E-2</v>
      </c>
      <c r="F436" s="21" t="s">
        <v>513</v>
      </c>
      <c r="G436" s="22">
        <v>18014.599999999999</v>
      </c>
      <c r="H436">
        <f t="shared" si="13"/>
        <v>1.1669699216029792E-2</v>
      </c>
    </row>
    <row r="437" spans="1:8" x14ac:dyDescent="0.45">
      <c r="A437" s="21" t="s">
        <v>512</v>
      </c>
      <c r="B437" s="22">
        <v>659.9</v>
      </c>
      <c r="D437">
        <f t="shared" si="12"/>
        <v>-1.5515440847381736E-2</v>
      </c>
      <c r="F437" s="21" t="s">
        <v>514</v>
      </c>
      <c r="G437" s="22">
        <v>18132.3</v>
      </c>
      <c r="H437">
        <f t="shared" si="13"/>
        <v>6.5335894219133777E-3</v>
      </c>
    </row>
    <row r="438" spans="1:8" x14ac:dyDescent="0.45">
      <c r="A438" s="21" t="s">
        <v>513</v>
      </c>
      <c r="B438" s="22">
        <v>659.15</v>
      </c>
      <c r="D438">
        <f t="shared" si="12"/>
        <v>-1.136535838763449E-3</v>
      </c>
      <c r="F438" s="21" t="s">
        <v>515</v>
      </c>
      <c r="G438" s="22">
        <v>18122.5</v>
      </c>
      <c r="H438">
        <f t="shared" si="13"/>
        <v>-5.4047197542503008E-4</v>
      </c>
    </row>
    <row r="439" spans="1:8" x14ac:dyDescent="0.45">
      <c r="A439" s="21" t="s">
        <v>514</v>
      </c>
      <c r="B439" s="22">
        <v>667.5</v>
      </c>
      <c r="D439">
        <f t="shared" si="12"/>
        <v>1.266782978077831E-2</v>
      </c>
      <c r="F439" s="21" t="s">
        <v>516</v>
      </c>
      <c r="G439" s="22">
        <v>18191</v>
      </c>
      <c r="H439">
        <f t="shared" si="13"/>
        <v>3.7798317009242652E-3</v>
      </c>
    </row>
    <row r="440" spans="1:8" x14ac:dyDescent="0.45">
      <c r="A440" s="21" t="s">
        <v>515</v>
      </c>
      <c r="B440" s="22">
        <v>672.1</v>
      </c>
      <c r="D440">
        <f t="shared" si="12"/>
        <v>6.8913857677902965E-3</v>
      </c>
      <c r="F440" s="21" t="s">
        <v>517</v>
      </c>
      <c r="G440" s="22">
        <v>18105.3</v>
      </c>
      <c r="H440">
        <f t="shared" si="13"/>
        <v>-4.7111208839536439E-3</v>
      </c>
    </row>
    <row r="441" spans="1:8" x14ac:dyDescent="0.45">
      <c r="A441" s="21" t="s">
        <v>516</v>
      </c>
      <c r="B441" s="22">
        <v>665.55</v>
      </c>
      <c r="D441">
        <f t="shared" si="12"/>
        <v>-9.7455735753609104E-3</v>
      </c>
      <c r="F441" s="23">
        <v>44958</v>
      </c>
      <c r="G441" s="22">
        <v>18197.45</v>
      </c>
      <c r="H441">
        <f t="shared" si="13"/>
        <v>5.0896698756718456E-3</v>
      </c>
    </row>
    <row r="442" spans="1:8" x14ac:dyDescent="0.45">
      <c r="A442" s="21" t="s">
        <v>517</v>
      </c>
      <c r="B442" s="22">
        <v>679.45</v>
      </c>
      <c r="D442">
        <f t="shared" si="12"/>
        <v>2.0884982345428731E-2</v>
      </c>
      <c r="F442" s="23">
        <v>44986</v>
      </c>
      <c r="G442" s="22">
        <v>18232.55</v>
      </c>
      <c r="H442">
        <f t="shared" si="13"/>
        <v>1.9288416783669439E-3</v>
      </c>
    </row>
    <row r="443" spans="1:8" x14ac:dyDescent="0.45">
      <c r="A443" s="23">
        <v>44958</v>
      </c>
      <c r="B443" s="22">
        <v>692.6</v>
      </c>
      <c r="D443">
        <f t="shared" si="12"/>
        <v>1.9353889175068036E-2</v>
      </c>
      <c r="F443" s="23">
        <v>45017</v>
      </c>
      <c r="G443" s="22">
        <v>18042.95</v>
      </c>
      <c r="H443">
        <f t="shared" si="13"/>
        <v>-1.0398984234240332E-2</v>
      </c>
    </row>
    <row r="444" spans="1:8" x14ac:dyDescent="0.45">
      <c r="A444" s="23">
        <v>44986</v>
      </c>
      <c r="B444" s="22">
        <v>693.5</v>
      </c>
      <c r="D444">
        <f t="shared" si="12"/>
        <v>1.2994513427663547E-3</v>
      </c>
      <c r="F444" s="23">
        <v>45047</v>
      </c>
      <c r="G444" s="22">
        <v>17992.150000000001</v>
      </c>
      <c r="H444">
        <f t="shared" si="13"/>
        <v>-2.8155041165662639E-3</v>
      </c>
    </row>
    <row r="445" spans="1:8" x14ac:dyDescent="0.45">
      <c r="A445" s="23">
        <v>45017</v>
      </c>
      <c r="B445" s="22">
        <v>694.9</v>
      </c>
      <c r="D445">
        <f t="shared" si="12"/>
        <v>2.0187454938716326E-3</v>
      </c>
      <c r="F445" s="23">
        <v>45078</v>
      </c>
      <c r="G445" s="22">
        <v>17859.45</v>
      </c>
      <c r="H445">
        <f t="shared" si="13"/>
        <v>-7.3754387330030443E-3</v>
      </c>
    </row>
    <row r="446" spans="1:8" x14ac:dyDescent="0.45">
      <c r="A446" s="23">
        <v>45047</v>
      </c>
      <c r="B446" s="22">
        <v>691.05</v>
      </c>
      <c r="D446">
        <f t="shared" si="12"/>
        <v>-5.5403655202187693E-3</v>
      </c>
      <c r="F446" s="23">
        <v>45170</v>
      </c>
      <c r="G446" s="22">
        <v>18101.2</v>
      </c>
      <c r="H446">
        <f t="shared" si="13"/>
        <v>1.3536251116355766E-2</v>
      </c>
    </row>
    <row r="447" spans="1:8" x14ac:dyDescent="0.45">
      <c r="A447" s="23">
        <v>45078</v>
      </c>
      <c r="B447" s="22">
        <v>689.45</v>
      </c>
      <c r="D447">
        <f t="shared" si="12"/>
        <v>-2.3153172708196357E-3</v>
      </c>
      <c r="F447" s="23">
        <v>45200</v>
      </c>
      <c r="G447" s="22">
        <v>17914.150000000001</v>
      </c>
      <c r="H447">
        <f t="shared" si="13"/>
        <v>-1.0333569045146138E-2</v>
      </c>
    </row>
    <row r="448" spans="1:8" x14ac:dyDescent="0.45">
      <c r="A448" s="23">
        <v>45170</v>
      </c>
      <c r="B448" s="22">
        <v>687.8</v>
      </c>
      <c r="D448">
        <f t="shared" si="12"/>
        <v>-2.3932119805643495E-3</v>
      </c>
      <c r="F448" s="23">
        <v>45231</v>
      </c>
      <c r="G448" s="22">
        <v>17895.7</v>
      </c>
      <c r="H448">
        <f t="shared" si="13"/>
        <v>-1.0299121085845951E-3</v>
      </c>
    </row>
    <row r="449" spans="1:8" x14ac:dyDescent="0.45">
      <c r="A449" s="23">
        <v>45200</v>
      </c>
      <c r="B449" s="22">
        <v>686.7</v>
      </c>
      <c r="D449">
        <f t="shared" si="12"/>
        <v>-1.599302122709958E-3</v>
      </c>
      <c r="F449" s="23">
        <v>45261</v>
      </c>
      <c r="G449" s="22">
        <v>17858.2</v>
      </c>
      <c r="H449">
        <f t="shared" si="13"/>
        <v>-2.0954754494096348E-3</v>
      </c>
    </row>
    <row r="450" spans="1:8" x14ac:dyDescent="0.45">
      <c r="A450" s="23">
        <v>45231</v>
      </c>
      <c r="B450" s="22">
        <v>683.5</v>
      </c>
      <c r="D450">
        <f t="shared" si="12"/>
        <v>-4.659967962720322E-3</v>
      </c>
      <c r="F450" s="21" t="s">
        <v>518</v>
      </c>
      <c r="G450" s="22">
        <v>17956.599999999999</v>
      </c>
      <c r="H450">
        <f t="shared" si="13"/>
        <v>5.5100738036307027E-3</v>
      </c>
    </row>
    <row r="451" spans="1:8" x14ac:dyDescent="0.45">
      <c r="A451" s="23">
        <v>45261</v>
      </c>
      <c r="B451" s="22">
        <v>678.9</v>
      </c>
      <c r="D451">
        <f t="shared" si="12"/>
        <v>-6.7300658376006186E-3</v>
      </c>
      <c r="F451" s="21" t="s">
        <v>519</v>
      </c>
      <c r="G451" s="22">
        <v>17894.849999999999</v>
      </c>
      <c r="H451">
        <f t="shared" si="13"/>
        <v>-3.4388469977612692E-3</v>
      </c>
    </row>
    <row r="452" spans="1:8" x14ac:dyDescent="0.45">
      <c r="A452" s="21" t="s">
        <v>518</v>
      </c>
      <c r="B452" s="22">
        <v>673.85</v>
      </c>
      <c r="D452">
        <f t="shared" ref="D452:D515" si="14">(B452-B451)/B451</f>
        <v>-7.4385034614817417E-3</v>
      </c>
      <c r="F452" s="21" t="s">
        <v>520</v>
      </c>
      <c r="G452" s="22">
        <v>18053.3</v>
      </c>
      <c r="H452">
        <f t="shared" si="13"/>
        <v>8.8545028318203697E-3</v>
      </c>
    </row>
    <row r="453" spans="1:8" x14ac:dyDescent="0.45">
      <c r="A453" s="21" t="s">
        <v>519</v>
      </c>
      <c r="B453" s="22">
        <v>673.7</v>
      </c>
      <c r="D453">
        <f t="shared" si="14"/>
        <v>-2.2260146916966276E-4</v>
      </c>
      <c r="F453" s="21" t="s">
        <v>521</v>
      </c>
      <c r="G453" s="22">
        <v>18165.349999999999</v>
      </c>
      <c r="H453">
        <f t="shared" ref="H453:H516" si="15">(G453-G452)/G452</f>
        <v>6.2066215041017029E-3</v>
      </c>
    </row>
    <row r="454" spans="1:8" x14ac:dyDescent="0.45">
      <c r="A454" s="21" t="s">
        <v>520</v>
      </c>
      <c r="B454" s="22">
        <v>667.25</v>
      </c>
      <c r="D454">
        <f t="shared" si="14"/>
        <v>-9.5739943595072666E-3</v>
      </c>
      <c r="F454" s="21" t="s">
        <v>522</v>
      </c>
      <c r="G454" s="22">
        <v>18107.849999999999</v>
      </c>
      <c r="H454">
        <f t="shared" si="15"/>
        <v>-3.1653670311884994E-3</v>
      </c>
    </row>
    <row r="455" spans="1:8" x14ac:dyDescent="0.45">
      <c r="A455" s="21" t="s">
        <v>521</v>
      </c>
      <c r="B455" s="22">
        <v>658.15</v>
      </c>
      <c r="D455">
        <f t="shared" si="14"/>
        <v>-1.3638066691644845E-2</v>
      </c>
      <c r="F455" s="21" t="s">
        <v>523</v>
      </c>
      <c r="G455" s="22">
        <v>18027.650000000001</v>
      </c>
      <c r="H455">
        <f t="shared" si="15"/>
        <v>-4.4290183539181681E-3</v>
      </c>
    </row>
    <row r="456" spans="1:8" x14ac:dyDescent="0.45">
      <c r="A456" s="21" t="s">
        <v>522</v>
      </c>
      <c r="B456" s="22">
        <v>657.1</v>
      </c>
      <c r="D456">
        <f t="shared" si="14"/>
        <v>-1.5953809921749669E-3</v>
      </c>
      <c r="F456" s="21" t="s">
        <v>524</v>
      </c>
      <c r="G456" s="22">
        <v>18118.55</v>
      </c>
      <c r="H456">
        <f t="shared" si="15"/>
        <v>5.0422545367808788E-3</v>
      </c>
    </row>
    <row r="457" spans="1:8" x14ac:dyDescent="0.45">
      <c r="A457" s="21" t="s">
        <v>523</v>
      </c>
      <c r="B457" s="22">
        <v>649.5</v>
      </c>
      <c r="D457">
        <f t="shared" si="14"/>
        <v>-1.1565971693806153E-2</v>
      </c>
      <c r="F457" s="21" t="s">
        <v>525</v>
      </c>
      <c r="G457" s="22">
        <v>18118.3</v>
      </c>
      <c r="H457">
        <f t="shared" si="15"/>
        <v>-1.3798013637956681E-5</v>
      </c>
    </row>
    <row r="458" spans="1:8" x14ac:dyDescent="0.45">
      <c r="A458" s="21" t="s">
        <v>524</v>
      </c>
      <c r="B458" s="22">
        <v>627.04999999999995</v>
      </c>
      <c r="D458">
        <f t="shared" si="14"/>
        <v>-3.4565050038491217E-2</v>
      </c>
      <c r="F458" s="21" t="s">
        <v>526</v>
      </c>
      <c r="G458" s="22">
        <v>17891.95</v>
      </c>
      <c r="H458">
        <f t="shared" si="15"/>
        <v>-1.2492893924926652E-2</v>
      </c>
    </row>
    <row r="459" spans="1:8" x14ac:dyDescent="0.45">
      <c r="A459" s="21" t="s">
        <v>525</v>
      </c>
      <c r="B459" s="22">
        <v>621</v>
      </c>
      <c r="D459">
        <f t="shared" si="14"/>
        <v>-9.6483534008451558E-3</v>
      </c>
      <c r="F459" s="21" t="s">
        <v>527</v>
      </c>
      <c r="G459" s="22">
        <v>17604.349999999999</v>
      </c>
      <c r="H459">
        <f t="shared" si="15"/>
        <v>-1.6074268036742903E-2</v>
      </c>
    </row>
    <row r="460" spans="1:8" x14ac:dyDescent="0.45">
      <c r="A460" s="21" t="s">
        <v>526</v>
      </c>
      <c r="B460" s="22">
        <v>599.79999999999995</v>
      </c>
      <c r="D460">
        <f t="shared" si="14"/>
        <v>-3.4138486312399428E-2</v>
      </c>
      <c r="F460" s="21" t="s">
        <v>528</v>
      </c>
      <c r="G460" s="22">
        <v>17648.95</v>
      </c>
      <c r="H460">
        <f t="shared" si="15"/>
        <v>2.5334647402489832E-3</v>
      </c>
    </row>
    <row r="461" spans="1:8" x14ac:dyDescent="0.45">
      <c r="A461" s="21" t="s">
        <v>527</v>
      </c>
      <c r="B461" s="22">
        <v>596.5</v>
      </c>
      <c r="D461">
        <f t="shared" si="14"/>
        <v>-5.5018339446481403E-3</v>
      </c>
      <c r="F461" s="21" t="s">
        <v>529</v>
      </c>
      <c r="G461" s="22">
        <v>17662.150000000001</v>
      </c>
      <c r="H461">
        <f t="shared" si="15"/>
        <v>7.4791984792300546E-4</v>
      </c>
    </row>
    <row r="462" spans="1:8" x14ac:dyDescent="0.45">
      <c r="A462" s="21" t="s">
        <v>528</v>
      </c>
      <c r="B462" s="22">
        <v>593.45000000000005</v>
      </c>
      <c r="D462">
        <f t="shared" si="14"/>
        <v>-5.1131601005866799E-3</v>
      </c>
      <c r="F462" s="23">
        <v>44928</v>
      </c>
      <c r="G462" s="22">
        <v>17616.3</v>
      </c>
      <c r="H462">
        <f t="shared" si="15"/>
        <v>-2.595946699580865E-3</v>
      </c>
    </row>
    <row r="463" spans="1:8" x14ac:dyDescent="0.45">
      <c r="A463" s="21" t="s">
        <v>529</v>
      </c>
      <c r="B463" s="22">
        <v>593.6</v>
      </c>
      <c r="D463">
        <f t="shared" si="14"/>
        <v>2.5275928890382889E-4</v>
      </c>
      <c r="F463" s="23">
        <v>44959</v>
      </c>
      <c r="G463" s="22">
        <v>17610.400000000001</v>
      </c>
      <c r="H463">
        <f t="shared" si="15"/>
        <v>-3.349170938277514E-4</v>
      </c>
    </row>
    <row r="464" spans="1:8" x14ac:dyDescent="0.45">
      <c r="A464" s="23">
        <v>44928</v>
      </c>
      <c r="B464" s="22">
        <v>579.70000000000005</v>
      </c>
      <c r="D464">
        <f t="shared" si="14"/>
        <v>-2.3416442048517481E-2</v>
      </c>
      <c r="F464" s="23">
        <v>44987</v>
      </c>
      <c r="G464" s="22">
        <v>17854.05</v>
      </c>
      <c r="H464">
        <f t="shared" si="15"/>
        <v>1.3835574433289295E-2</v>
      </c>
    </row>
    <row r="465" spans="1:8" x14ac:dyDescent="0.45">
      <c r="A465" s="23">
        <v>44959</v>
      </c>
      <c r="B465" s="22">
        <v>578</v>
      </c>
      <c r="D465">
        <f t="shared" si="14"/>
        <v>-2.9325513196481719E-3</v>
      </c>
      <c r="F465" s="23">
        <v>45079</v>
      </c>
      <c r="G465" s="22">
        <v>17764.599999999999</v>
      </c>
      <c r="H465">
        <f t="shared" si="15"/>
        <v>-5.0100677437332555E-3</v>
      </c>
    </row>
    <row r="466" spans="1:8" x14ac:dyDescent="0.45">
      <c r="A466" s="23">
        <v>44987</v>
      </c>
      <c r="B466" s="22">
        <v>577.04999999999995</v>
      </c>
      <c r="D466">
        <f t="shared" si="14"/>
        <v>-1.6435986159170338E-3</v>
      </c>
      <c r="F466" s="23">
        <v>45109</v>
      </c>
      <c r="G466" s="22">
        <v>17721.5</v>
      </c>
      <c r="H466">
        <f t="shared" si="15"/>
        <v>-2.4261734010334345E-3</v>
      </c>
    </row>
    <row r="467" spans="1:8" x14ac:dyDescent="0.45">
      <c r="A467" s="23">
        <v>45079</v>
      </c>
      <c r="B467" s="22">
        <v>601.9</v>
      </c>
      <c r="D467">
        <f t="shared" si="14"/>
        <v>4.306385928429083E-2</v>
      </c>
      <c r="F467" s="23">
        <v>45140</v>
      </c>
      <c r="G467" s="22">
        <v>17871.7</v>
      </c>
      <c r="H467">
        <f t="shared" si="15"/>
        <v>8.4755805095505874E-3</v>
      </c>
    </row>
    <row r="468" spans="1:8" x14ac:dyDescent="0.45">
      <c r="A468" s="23">
        <v>45109</v>
      </c>
      <c r="B468" s="22">
        <v>617.54999999999995</v>
      </c>
      <c r="D468">
        <f t="shared" si="14"/>
        <v>2.6000996843329419E-2</v>
      </c>
      <c r="F468" s="23">
        <v>45171</v>
      </c>
      <c r="G468" s="22">
        <v>17893.45</v>
      </c>
      <c r="H468">
        <f t="shared" si="15"/>
        <v>1.2170078951638623E-3</v>
      </c>
    </row>
    <row r="469" spans="1:8" x14ac:dyDescent="0.45">
      <c r="A469" s="23">
        <v>45140</v>
      </c>
      <c r="B469" s="22">
        <v>617.95000000000005</v>
      </c>
      <c r="D469">
        <f t="shared" si="14"/>
        <v>6.4772083232141682E-4</v>
      </c>
      <c r="F469" s="23">
        <v>45201</v>
      </c>
      <c r="G469" s="22">
        <v>17856.5</v>
      </c>
      <c r="H469">
        <f t="shared" si="15"/>
        <v>-2.0650014390741151E-3</v>
      </c>
    </row>
    <row r="470" spans="1:8" x14ac:dyDescent="0.45">
      <c r="A470" s="23">
        <v>45171</v>
      </c>
      <c r="B470" s="22">
        <v>619.5</v>
      </c>
      <c r="D470">
        <f t="shared" si="14"/>
        <v>2.5082935512581186E-3</v>
      </c>
      <c r="F470" s="21" t="s">
        <v>530</v>
      </c>
      <c r="G470" s="22">
        <v>17770.900000000001</v>
      </c>
      <c r="H470">
        <f t="shared" si="15"/>
        <v>-4.7937725758126475E-3</v>
      </c>
    </row>
    <row r="471" spans="1:8" x14ac:dyDescent="0.45">
      <c r="A471" s="23">
        <v>45201</v>
      </c>
      <c r="B471" s="22">
        <v>617.54999999999995</v>
      </c>
      <c r="D471">
        <f t="shared" si="14"/>
        <v>-3.1476997578693228E-3</v>
      </c>
      <c r="F471" s="21" t="s">
        <v>531</v>
      </c>
      <c r="G471" s="22">
        <v>17929.849999999999</v>
      </c>
      <c r="H471">
        <f t="shared" si="15"/>
        <v>8.9443978639234412E-3</v>
      </c>
    </row>
    <row r="472" spans="1:8" x14ac:dyDescent="0.45">
      <c r="A472" s="21" t="s">
        <v>530</v>
      </c>
      <c r="B472" s="22">
        <v>619.29999999999995</v>
      </c>
      <c r="D472">
        <f t="shared" si="14"/>
        <v>2.8337786414055544E-3</v>
      </c>
      <c r="F472" s="21" t="s">
        <v>532</v>
      </c>
      <c r="G472" s="22">
        <v>18015.849999999999</v>
      </c>
      <c r="H472">
        <f t="shared" si="15"/>
        <v>4.7964706899388454E-3</v>
      </c>
    </row>
    <row r="473" spans="1:8" x14ac:dyDescent="0.45">
      <c r="A473" s="21" t="s">
        <v>531</v>
      </c>
      <c r="B473" s="22">
        <v>617.85</v>
      </c>
      <c r="D473">
        <f t="shared" si="14"/>
        <v>-2.341353140642551E-3</v>
      </c>
      <c r="F473" s="21" t="s">
        <v>533</v>
      </c>
      <c r="G473" s="22">
        <v>18035.849999999999</v>
      </c>
      <c r="H473">
        <f t="shared" si="15"/>
        <v>1.1101335768226312E-3</v>
      </c>
    </row>
    <row r="474" spans="1:8" x14ac:dyDescent="0.45">
      <c r="A474" s="21" t="s">
        <v>532</v>
      </c>
      <c r="B474" s="22">
        <v>612.85</v>
      </c>
      <c r="D474">
        <f t="shared" si="14"/>
        <v>-8.0925791049607509E-3</v>
      </c>
      <c r="F474" s="21" t="s">
        <v>534</v>
      </c>
      <c r="G474" s="22">
        <v>17944.2</v>
      </c>
      <c r="H474">
        <f t="shared" si="15"/>
        <v>-5.0815459210404737E-3</v>
      </c>
    </row>
    <row r="475" spans="1:8" x14ac:dyDescent="0.45">
      <c r="A475" s="21" t="s">
        <v>533</v>
      </c>
      <c r="B475" s="22">
        <v>617.20000000000005</v>
      </c>
      <c r="D475">
        <f t="shared" si="14"/>
        <v>7.0979848249979969E-3</v>
      </c>
      <c r="F475" s="21" t="s">
        <v>535</v>
      </c>
      <c r="G475" s="22">
        <v>17844.599999999999</v>
      </c>
      <c r="H475">
        <f t="shared" si="15"/>
        <v>-5.5505400073562585E-3</v>
      </c>
    </row>
    <row r="476" spans="1:8" x14ac:dyDescent="0.45">
      <c r="A476" s="21" t="s">
        <v>534</v>
      </c>
      <c r="B476" s="22">
        <v>624.54999999999995</v>
      </c>
      <c r="D476">
        <f t="shared" si="14"/>
        <v>1.190861957226168E-2</v>
      </c>
      <c r="F476" s="21" t="s">
        <v>536</v>
      </c>
      <c r="G476" s="22">
        <v>17826.7</v>
      </c>
      <c r="H476">
        <f t="shared" si="15"/>
        <v>-1.0031045806573316E-3</v>
      </c>
    </row>
    <row r="477" spans="1:8" x14ac:dyDescent="0.45">
      <c r="A477" s="21" t="s">
        <v>535</v>
      </c>
      <c r="B477" s="22">
        <v>637.25</v>
      </c>
      <c r="D477">
        <f t="shared" si="14"/>
        <v>2.0334640941477938E-2</v>
      </c>
      <c r="F477" s="21" t="s">
        <v>537</v>
      </c>
      <c r="G477" s="22">
        <v>17554.3</v>
      </c>
      <c r="H477">
        <f t="shared" si="15"/>
        <v>-1.5280450111349909E-2</v>
      </c>
    </row>
    <row r="478" spans="1:8" x14ac:dyDescent="0.45">
      <c r="A478" s="21" t="s">
        <v>536</v>
      </c>
      <c r="B478" s="22">
        <v>639.85</v>
      </c>
      <c r="D478">
        <f t="shared" si="14"/>
        <v>4.0800313848568422E-3</v>
      </c>
      <c r="F478" s="21" t="s">
        <v>538</v>
      </c>
      <c r="G478" s="22">
        <v>17511.25</v>
      </c>
      <c r="H478">
        <f t="shared" si="15"/>
        <v>-2.4523905823643937E-3</v>
      </c>
    </row>
    <row r="479" spans="1:8" x14ac:dyDescent="0.45">
      <c r="A479" s="21" t="s">
        <v>537</v>
      </c>
      <c r="B479" s="22">
        <v>637.6</v>
      </c>
      <c r="D479">
        <f t="shared" si="14"/>
        <v>-3.5164491677736969E-3</v>
      </c>
      <c r="F479" s="21" t="s">
        <v>539</v>
      </c>
      <c r="G479" s="22">
        <v>17465.8</v>
      </c>
      <c r="H479">
        <f t="shared" si="15"/>
        <v>-2.5954743379256609E-3</v>
      </c>
    </row>
    <row r="480" spans="1:8" x14ac:dyDescent="0.45">
      <c r="A480" s="21" t="s">
        <v>538</v>
      </c>
      <c r="B480" s="22">
        <v>643.5</v>
      </c>
      <c r="D480">
        <f t="shared" si="14"/>
        <v>9.253450439146764E-3</v>
      </c>
      <c r="F480" s="21" t="s">
        <v>540</v>
      </c>
      <c r="G480" s="22">
        <v>17392.7</v>
      </c>
      <c r="H480">
        <f t="shared" si="15"/>
        <v>-4.1853221724741235E-3</v>
      </c>
    </row>
    <row r="481" spans="1:8" x14ac:dyDescent="0.45">
      <c r="A481" s="21" t="s">
        <v>539</v>
      </c>
      <c r="B481" s="22">
        <v>649.1</v>
      </c>
      <c r="D481">
        <f t="shared" si="14"/>
        <v>8.7024087024087371E-3</v>
      </c>
      <c r="F481" s="21" t="s">
        <v>541</v>
      </c>
      <c r="G481" s="22">
        <v>17303.95</v>
      </c>
      <c r="H481">
        <f t="shared" si="15"/>
        <v>-5.1027155070805562E-3</v>
      </c>
    </row>
    <row r="482" spans="1:8" x14ac:dyDescent="0.45">
      <c r="A482" s="21" t="s">
        <v>540</v>
      </c>
      <c r="B482" s="22">
        <v>644.70000000000005</v>
      </c>
      <c r="D482">
        <f t="shared" si="14"/>
        <v>-6.7786165459867154E-3</v>
      </c>
      <c r="F482" s="23">
        <v>44929</v>
      </c>
      <c r="G482" s="22">
        <v>17450.900000000001</v>
      </c>
      <c r="H482">
        <f t="shared" si="15"/>
        <v>8.4922806642414427E-3</v>
      </c>
    </row>
    <row r="483" spans="1:8" x14ac:dyDescent="0.45">
      <c r="A483" s="21" t="s">
        <v>541</v>
      </c>
      <c r="B483" s="22">
        <v>645.15</v>
      </c>
      <c r="D483">
        <f t="shared" si="14"/>
        <v>6.9799906933446833E-4</v>
      </c>
      <c r="F483" s="23">
        <v>44960</v>
      </c>
      <c r="G483" s="22">
        <v>17321.900000000001</v>
      </c>
      <c r="H483">
        <f t="shared" si="15"/>
        <v>-7.392168885272392E-3</v>
      </c>
    </row>
    <row r="484" spans="1:8" x14ac:dyDescent="0.45">
      <c r="A484" s="23">
        <v>44929</v>
      </c>
      <c r="B484" s="22">
        <v>676.4</v>
      </c>
      <c r="D484">
        <f t="shared" si="14"/>
        <v>4.8438347671084243E-2</v>
      </c>
      <c r="F484" s="23">
        <v>44988</v>
      </c>
      <c r="G484" s="22">
        <v>17594.349999999999</v>
      </c>
      <c r="H484">
        <f t="shared" si="15"/>
        <v>1.5728644086387581E-2</v>
      </c>
    </row>
    <row r="485" spans="1:8" x14ac:dyDescent="0.45">
      <c r="A485" s="23">
        <v>44960</v>
      </c>
      <c r="B485" s="22">
        <v>706.6</v>
      </c>
      <c r="D485">
        <f t="shared" si="14"/>
        <v>4.4648137196924967E-2</v>
      </c>
      <c r="F485" s="23">
        <v>45080</v>
      </c>
      <c r="G485" s="22">
        <v>17711.45</v>
      </c>
      <c r="H485">
        <f t="shared" si="15"/>
        <v>6.6555456723324359E-3</v>
      </c>
    </row>
    <row r="486" spans="1:8" x14ac:dyDescent="0.45">
      <c r="A486" s="23">
        <v>44988</v>
      </c>
      <c r="B486" s="22">
        <v>736.05</v>
      </c>
      <c r="D486">
        <f t="shared" si="14"/>
        <v>4.1678460232097272E-2</v>
      </c>
      <c r="F486" s="23">
        <v>45141</v>
      </c>
      <c r="G486" s="22">
        <v>17754.400000000001</v>
      </c>
      <c r="H486">
        <f t="shared" si="15"/>
        <v>2.4249849673516695E-3</v>
      </c>
    </row>
    <row r="487" spans="1:8" x14ac:dyDescent="0.45">
      <c r="A487" s="23">
        <v>45080</v>
      </c>
      <c r="B487" s="22">
        <v>741.9</v>
      </c>
      <c r="D487">
        <f t="shared" si="14"/>
        <v>7.9478296311392208E-3</v>
      </c>
      <c r="F487" s="23">
        <v>45172</v>
      </c>
      <c r="G487" s="22">
        <v>17589.599999999999</v>
      </c>
      <c r="H487">
        <f t="shared" si="15"/>
        <v>-9.2822061010230088E-3</v>
      </c>
    </row>
    <row r="488" spans="1:8" x14ac:dyDescent="0.45">
      <c r="A488" s="23">
        <v>45141</v>
      </c>
      <c r="B488" s="22">
        <v>745.2</v>
      </c>
      <c r="D488">
        <f t="shared" si="14"/>
        <v>4.4480388192479695E-3</v>
      </c>
      <c r="F488" s="23">
        <v>45202</v>
      </c>
      <c r="G488" s="22">
        <v>17412.900000000001</v>
      </c>
      <c r="H488">
        <f t="shared" si="15"/>
        <v>-1.004570882794362E-2</v>
      </c>
    </row>
    <row r="489" spans="1:8" x14ac:dyDescent="0.45">
      <c r="A489" s="23">
        <v>45172</v>
      </c>
      <c r="B489" s="22">
        <v>742.65</v>
      </c>
      <c r="D489">
        <f t="shared" si="14"/>
        <v>-3.4219001610306873E-3</v>
      </c>
      <c r="F489" s="21" t="s">
        <v>542</v>
      </c>
      <c r="G489" s="22">
        <v>17154.3</v>
      </c>
      <c r="H489">
        <f t="shared" si="15"/>
        <v>-1.4851058697862055E-2</v>
      </c>
    </row>
    <row r="490" spans="1:8" x14ac:dyDescent="0.45">
      <c r="A490" s="23">
        <v>45202</v>
      </c>
      <c r="B490" s="22">
        <v>747.15</v>
      </c>
      <c r="D490">
        <f t="shared" si="14"/>
        <v>6.0593819430418095E-3</v>
      </c>
      <c r="F490" s="21" t="s">
        <v>543</v>
      </c>
      <c r="G490" s="22">
        <v>17043.3</v>
      </c>
      <c r="H490">
        <f t="shared" si="15"/>
        <v>-6.4706808205522819E-3</v>
      </c>
    </row>
    <row r="491" spans="1:8" x14ac:dyDescent="0.45">
      <c r="A491" s="21" t="s">
        <v>542</v>
      </c>
      <c r="B491" s="22">
        <v>737.55</v>
      </c>
      <c r="D491">
        <f t="shared" si="14"/>
        <v>-1.2848825537040786E-2</v>
      </c>
      <c r="F491" s="21" t="s">
        <v>544</v>
      </c>
      <c r="G491" s="22">
        <v>16972.150000000001</v>
      </c>
      <c r="H491">
        <f t="shared" si="15"/>
        <v>-4.1746610104849311E-3</v>
      </c>
    </row>
    <row r="492" spans="1:8" x14ac:dyDescent="0.45">
      <c r="A492" s="21" t="s">
        <v>543</v>
      </c>
      <c r="B492" s="22">
        <v>740.3</v>
      </c>
      <c r="D492">
        <f t="shared" si="14"/>
        <v>3.7285607755406414E-3</v>
      </c>
      <c r="F492" s="21" t="s">
        <v>545</v>
      </c>
      <c r="G492" s="22">
        <v>16985.599999999999</v>
      </c>
      <c r="H492">
        <f t="shared" si="15"/>
        <v>7.9247473066153013E-4</v>
      </c>
    </row>
    <row r="493" spans="1:8" x14ac:dyDescent="0.45">
      <c r="A493" s="21" t="s">
        <v>544</v>
      </c>
      <c r="B493" s="22">
        <v>740.25</v>
      </c>
      <c r="D493">
        <f t="shared" si="14"/>
        <v>-6.7540186410853069E-5</v>
      </c>
      <c r="F493" s="21" t="s">
        <v>546</v>
      </c>
      <c r="G493" s="22">
        <v>17100.05</v>
      </c>
      <c r="H493">
        <f t="shared" si="15"/>
        <v>6.7380604747551299E-3</v>
      </c>
    </row>
    <row r="494" spans="1:8" x14ac:dyDescent="0.45">
      <c r="A494" s="21" t="s">
        <v>545</v>
      </c>
      <c r="B494" s="22">
        <v>735.2</v>
      </c>
      <c r="D494">
        <f t="shared" si="14"/>
        <v>-6.822019587976973E-3</v>
      </c>
      <c r="F494" s="21" t="s">
        <v>547</v>
      </c>
      <c r="G494" s="22">
        <v>16988.400000000001</v>
      </c>
      <c r="H494">
        <f t="shared" si="15"/>
        <v>-6.5292206747932209E-3</v>
      </c>
    </row>
    <row r="495" spans="1:8" x14ac:dyDescent="0.45">
      <c r="A495" s="21" t="s">
        <v>546</v>
      </c>
      <c r="B495" s="22">
        <v>749.15</v>
      </c>
      <c r="D495">
        <f t="shared" si="14"/>
        <v>1.8974428726876946E-2</v>
      </c>
      <c r="F495" s="21" t="s">
        <v>548</v>
      </c>
      <c r="G495" s="22">
        <v>17107.5</v>
      </c>
      <c r="H495">
        <f t="shared" si="15"/>
        <v>7.0106661015751064E-3</v>
      </c>
    </row>
    <row r="496" spans="1:8" x14ac:dyDescent="0.45">
      <c r="A496" s="21" t="s">
        <v>547</v>
      </c>
      <c r="B496" s="22">
        <v>748.65</v>
      </c>
      <c r="D496">
        <f t="shared" si="14"/>
        <v>-6.6742307949008877E-4</v>
      </c>
      <c r="F496" s="21" t="s">
        <v>549</v>
      </c>
      <c r="G496" s="22">
        <v>17151.900000000001</v>
      </c>
      <c r="H496">
        <f t="shared" si="15"/>
        <v>2.5953529153880726E-3</v>
      </c>
    </row>
    <row r="497" spans="1:8" x14ac:dyDescent="0.45">
      <c r="A497" s="21" t="s">
        <v>548</v>
      </c>
      <c r="B497" s="22">
        <v>807.4</v>
      </c>
      <c r="D497">
        <f t="shared" si="14"/>
        <v>7.8474587590997125E-2</v>
      </c>
      <c r="F497" s="21" t="s">
        <v>550</v>
      </c>
      <c r="G497" s="22">
        <v>17076.900000000001</v>
      </c>
      <c r="H497">
        <f t="shared" si="15"/>
        <v>-4.3726934042292685E-3</v>
      </c>
    </row>
    <row r="498" spans="1:8" x14ac:dyDescent="0.45">
      <c r="A498" s="21" t="s">
        <v>549</v>
      </c>
      <c r="B498" s="22">
        <v>828.15</v>
      </c>
      <c r="D498">
        <f t="shared" si="14"/>
        <v>2.5699777062174883E-2</v>
      </c>
      <c r="F498" s="21" t="s">
        <v>551</v>
      </c>
      <c r="G498" s="22">
        <v>16945.05</v>
      </c>
      <c r="H498">
        <f t="shared" si="15"/>
        <v>-7.7209563796709103E-3</v>
      </c>
    </row>
    <row r="499" spans="1:8" x14ac:dyDescent="0.45">
      <c r="A499" s="21" t="s">
        <v>550</v>
      </c>
      <c r="B499" s="22">
        <v>852.3</v>
      </c>
      <c r="D499">
        <f t="shared" si="14"/>
        <v>2.9161383807281262E-2</v>
      </c>
      <c r="F499" s="21" t="s">
        <v>552</v>
      </c>
      <c r="G499" s="22">
        <v>16985.7</v>
      </c>
      <c r="H499">
        <f t="shared" si="15"/>
        <v>2.3989306611666215E-3</v>
      </c>
    </row>
    <row r="500" spans="1:8" x14ac:dyDescent="0.45">
      <c r="A500" s="21" t="s">
        <v>551</v>
      </c>
      <c r="B500" s="22">
        <v>855</v>
      </c>
      <c r="D500">
        <f t="shared" si="14"/>
        <v>3.1678986272439817E-3</v>
      </c>
      <c r="F500" s="21" t="s">
        <v>553</v>
      </c>
      <c r="G500" s="22">
        <v>16951.7</v>
      </c>
      <c r="H500">
        <f t="shared" si="15"/>
        <v>-2.0016837692882834E-3</v>
      </c>
    </row>
    <row r="501" spans="1:8" x14ac:dyDescent="0.45">
      <c r="A501" s="21" t="s">
        <v>552</v>
      </c>
      <c r="B501" s="22">
        <v>825.45</v>
      </c>
      <c r="D501">
        <f t="shared" si="14"/>
        <v>-3.4561403508771876E-2</v>
      </c>
      <c r="F501" s="21" t="s">
        <v>554</v>
      </c>
      <c r="G501" s="22">
        <v>17080.7</v>
      </c>
      <c r="H501">
        <f t="shared" si="15"/>
        <v>7.6098562386073369E-3</v>
      </c>
    </row>
    <row r="502" spans="1:8" x14ac:dyDescent="0.45">
      <c r="A502" s="21" t="s">
        <v>553</v>
      </c>
      <c r="B502" s="22">
        <v>831.25</v>
      </c>
      <c r="D502">
        <f t="shared" si="14"/>
        <v>7.0264704100792951E-3</v>
      </c>
      <c r="F502" s="21" t="s">
        <v>555</v>
      </c>
      <c r="G502" s="22">
        <v>17359.75</v>
      </c>
      <c r="H502">
        <f t="shared" si="15"/>
        <v>1.6337152458622845E-2</v>
      </c>
    </row>
    <row r="503" spans="1:8" x14ac:dyDescent="0.45">
      <c r="A503" s="21" t="s">
        <v>554</v>
      </c>
      <c r="B503" s="22">
        <v>832.9</v>
      </c>
      <c r="D503">
        <f t="shared" si="14"/>
        <v>1.9849624060150101E-3</v>
      </c>
      <c r="F503" s="23">
        <v>44989</v>
      </c>
      <c r="G503" s="22">
        <v>17398.05</v>
      </c>
      <c r="H503">
        <f t="shared" si="15"/>
        <v>2.2062529702328243E-3</v>
      </c>
    </row>
    <row r="504" spans="1:8" x14ac:dyDescent="0.45">
      <c r="A504" s="21" t="s">
        <v>555</v>
      </c>
      <c r="B504" s="22">
        <v>865.35</v>
      </c>
      <c r="D504">
        <f t="shared" si="14"/>
        <v>3.8960259334854183E-2</v>
      </c>
      <c r="F504" s="23">
        <v>45050</v>
      </c>
      <c r="G504" s="22">
        <v>17557.05</v>
      </c>
      <c r="H504">
        <f t="shared" si="15"/>
        <v>9.1389552277410403E-3</v>
      </c>
    </row>
    <row r="505" spans="1:8" x14ac:dyDescent="0.45">
      <c r="A505" s="23">
        <v>44989</v>
      </c>
      <c r="B505" s="22">
        <v>844.8</v>
      </c>
      <c r="D505">
        <f t="shared" si="14"/>
        <v>-2.3747616571329597E-2</v>
      </c>
      <c r="F505" s="23">
        <v>45081</v>
      </c>
      <c r="G505" s="22">
        <v>17599.150000000001</v>
      </c>
      <c r="H505">
        <f t="shared" si="15"/>
        <v>2.3978971410346375E-3</v>
      </c>
    </row>
    <row r="506" spans="1:8" x14ac:dyDescent="0.45">
      <c r="A506" s="23">
        <v>45050</v>
      </c>
      <c r="B506" s="22">
        <v>888.35</v>
      </c>
      <c r="D506">
        <f t="shared" si="14"/>
        <v>5.1550662878787963E-2</v>
      </c>
      <c r="F506" s="23">
        <v>45203</v>
      </c>
      <c r="G506" s="22">
        <v>17624.05</v>
      </c>
      <c r="H506">
        <f t="shared" si="15"/>
        <v>1.4148410576645925E-3</v>
      </c>
    </row>
    <row r="507" spans="1:8" x14ac:dyDescent="0.45">
      <c r="A507" s="23">
        <v>45081</v>
      </c>
      <c r="B507" s="22">
        <v>949.2</v>
      </c>
      <c r="D507">
        <f t="shared" si="14"/>
        <v>6.8497776777171185E-2</v>
      </c>
      <c r="F507" s="23">
        <v>45234</v>
      </c>
      <c r="G507" s="22">
        <v>17722.3</v>
      </c>
      <c r="H507">
        <f t="shared" si="15"/>
        <v>5.5747685690859935E-3</v>
      </c>
    </row>
    <row r="508" spans="1:8" x14ac:dyDescent="0.45">
      <c r="A508" s="23">
        <v>45203</v>
      </c>
      <c r="B508" s="22">
        <v>912</v>
      </c>
      <c r="D508">
        <f t="shared" si="14"/>
        <v>-3.9190897597977288E-2</v>
      </c>
      <c r="F508" s="23">
        <v>45264</v>
      </c>
      <c r="G508" s="22">
        <v>17812.400000000001</v>
      </c>
      <c r="H508">
        <f t="shared" si="15"/>
        <v>5.0839902270022616E-3</v>
      </c>
    </row>
    <row r="509" spans="1:8" x14ac:dyDescent="0.45">
      <c r="A509" s="23">
        <v>45234</v>
      </c>
      <c r="B509" s="22">
        <v>943</v>
      </c>
      <c r="D509">
        <f t="shared" si="14"/>
        <v>3.399122807017544E-2</v>
      </c>
      <c r="F509" s="21" t="s">
        <v>556</v>
      </c>
      <c r="G509" s="22">
        <v>17828</v>
      </c>
      <c r="H509">
        <f t="shared" si="15"/>
        <v>8.7579439042456621E-4</v>
      </c>
    </row>
    <row r="510" spans="1:8" x14ac:dyDescent="0.45">
      <c r="A510" s="23">
        <v>45264</v>
      </c>
      <c r="B510" s="22">
        <v>951.45</v>
      </c>
      <c r="D510">
        <f t="shared" si="14"/>
        <v>8.9607635206787328E-3</v>
      </c>
      <c r="F510" s="21" t="s">
        <v>557</v>
      </c>
      <c r="G510" s="22">
        <v>17706.849999999999</v>
      </c>
      <c r="H510">
        <f t="shared" si="15"/>
        <v>-6.7954902400718786E-3</v>
      </c>
    </row>
    <row r="511" spans="1:8" x14ac:dyDescent="0.45">
      <c r="A511" s="21" t="s">
        <v>556</v>
      </c>
      <c r="B511" s="22">
        <v>989.05</v>
      </c>
      <c r="D511">
        <f t="shared" si="14"/>
        <v>3.9518629460297341E-2</v>
      </c>
      <c r="F511" s="21" t="s">
        <v>558</v>
      </c>
      <c r="G511" s="22">
        <v>17660.150000000001</v>
      </c>
      <c r="H511">
        <f t="shared" si="15"/>
        <v>-2.637397391404857E-3</v>
      </c>
    </row>
    <row r="512" spans="1:8" x14ac:dyDescent="0.45">
      <c r="A512" s="21" t="s">
        <v>557</v>
      </c>
      <c r="B512" s="22">
        <v>1058.25</v>
      </c>
      <c r="D512">
        <f t="shared" si="14"/>
        <v>6.9966129113796113E-2</v>
      </c>
      <c r="F512" s="21" t="s">
        <v>559</v>
      </c>
      <c r="G512" s="22">
        <v>17618.75</v>
      </c>
      <c r="H512">
        <f t="shared" si="15"/>
        <v>-2.3442609490860185E-3</v>
      </c>
    </row>
    <row r="513" spans="1:8" x14ac:dyDescent="0.45">
      <c r="A513" s="21" t="s">
        <v>558</v>
      </c>
      <c r="B513" s="22">
        <v>1014.35</v>
      </c>
      <c r="D513">
        <f t="shared" si="14"/>
        <v>-4.1483581384360951E-2</v>
      </c>
      <c r="F513" s="21" t="s">
        <v>560</v>
      </c>
      <c r="G513" s="22">
        <v>17624.45</v>
      </c>
      <c r="H513">
        <f t="shared" si="15"/>
        <v>3.2351897836116228E-4</v>
      </c>
    </row>
    <row r="514" spans="1:8" x14ac:dyDescent="0.45">
      <c r="A514" s="21" t="s">
        <v>559</v>
      </c>
      <c r="B514" s="22">
        <v>1032.1500000000001</v>
      </c>
      <c r="D514">
        <f t="shared" si="14"/>
        <v>1.7548183565830402E-2</v>
      </c>
      <c r="F514" s="21" t="s">
        <v>561</v>
      </c>
      <c r="G514" s="22">
        <v>17624.05</v>
      </c>
      <c r="H514">
        <f t="shared" si="15"/>
        <v>-2.2695743697048997E-5</v>
      </c>
    </row>
    <row r="515" spans="1:8" x14ac:dyDescent="0.45">
      <c r="A515" s="21" t="s">
        <v>560</v>
      </c>
      <c r="B515" s="22">
        <v>1049.5999999999999</v>
      </c>
      <c r="D515">
        <f t="shared" si="14"/>
        <v>1.6906457394758337E-2</v>
      </c>
      <c r="F515" s="21" t="s">
        <v>562</v>
      </c>
      <c r="G515" s="22">
        <v>17743.400000000001</v>
      </c>
      <c r="H515">
        <f t="shared" si="15"/>
        <v>6.7719962210730329E-3</v>
      </c>
    </row>
    <row r="516" spans="1:8" x14ac:dyDescent="0.45">
      <c r="A516" s="21" t="s">
        <v>561</v>
      </c>
      <c r="B516" s="22">
        <v>1059.8</v>
      </c>
      <c r="D516">
        <f t="shared" ref="D516:D579" si="16">(B516-B515)/B515</f>
        <v>9.7179878048780921E-3</v>
      </c>
      <c r="F516" s="21" t="s">
        <v>563</v>
      </c>
      <c r="G516" s="22">
        <v>17769.25</v>
      </c>
      <c r="H516">
        <f t="shared" si="15"/>
        <v>1.4568797411994624E-3</v>
      </c>
    </row>
    <row r="517" spans="1:8" x14ac:dyDescent="0.45">
      <c r="A517" s="21" t="s">
        <v>562</v>
      </c>
      <c r="B517" s="22">
        <v>1076.0999999999999</v>
      </c>
      <c r="D517">
        <f t="shared" si="16"/>
        <v>1.5380260426495523E-2</v>
      </c>
      <c r="F517" s="21" t="s">
        <v>564</v>
      </c>
      <c r="G517" s="22">
        <v>17813.599999999999</v>
      </c>
      <c r="H517">
        <f t="shared" ref="H517:H580" si="17">(G517-G516)/G516</f>
        <v>2.495884744713398E-3</v>
      </c>
    </row>
    <row r="518" spans="1:8" x14ac:dyDescent="0.45">
      <c r="A518" s="21" t="s">
        <v>563</v>
      </c>
      <c r="B518" s="22">
        <v>1123.4000000000001</v>
      </c>
      <c r="D518">
        <f t="shared" si="16"/>
        <v>4.3955022767400972E-2</v>
      </c>
      <c r="F518" s="21" t="s">
        <v>565</v>
      </c>
      <c r="G518" s="22">
        <v>17915.05</v>
      </c>
      <c r="H518">
        <f t="shared" si="17"/>
        <v>5.6950868998967494E-3</v>
      </c>
    </row>
    <row r="519" spans="1:8" x14ac:dyDescent="0.45">
      <c r="A519" s="21" t="s">
        <v>564</v>
      </c>
      <c r="B519" s="22">
        <v>1114</v>
      </c>
      <c r="D519">
        <f t="shared" si="16"/>
        <v>-8.3674559373331757E-3</v>
      </c>
      <c r="F519" s="21" t="s">
        <v>566</v>
      </c>
      <c r="G519" s="22">
        <v>18065</v>
      </c>
      <c r="H519">
        <f t="shared" si="17"/>
        <v>8.37005757728841E-3</v>
      </c>
    </row>
    <row r="520" spans="1:8" x14ac:dyDescent="0.45">
      <c r="A520" s="21" t="s">
        <v>565</v>
      </c>
      <c r="B520" s="22">
        <v>1122.7</v>
      </c>
      <c r="D520">
        <f t="shared" si="16"/>
        <v>7.8096947935368454E-3</v>
      </c>
      <c r="F520" s="23">
        <v>44962</v>
      </c>
      <c r="G520" s="22">
        <v>18147.650000000001</v>
      </c>
      <c r="H520">
        <f t="shared" si="17"/>
        <v>4.5751453086078859E-3</v>
      </c>
    </row>
    <row r="521" spans="1:8" x14ac:dyDescent="0.45">
      <c r="A521" s="21" t="s">
        <v>566</v>
      </c>
      <c r="B521" s="22">
        <v>1129.3</v>
      </c>
      <c r="D521">
        <f t="shared" si="16"/>
        <v>5.8786853121937368E-3</v>
      </c>
      <c r="F521" s="23">
        <v>44990</v>
      </c>
      <c r="G521" s="22">
        <v>18089.849999999999</v>
      </c>
      <c r="H521">
        <f t="shared" si="17"/>
        <v>-3.1849853837826333E-3</v>
      </c>
    </row>
    <row r="522" spans="1:8" x14ac:dyDescent="0.45">
      <c r="A522" s="23">
        <v>44962</v>
      </c>
      <c r="B522" s="22">
        <v>1183.05</v>
      </c>
      <c r="D522">
        <f t="shared" si="16"/>
        <v>4.7595855839900829E-2</v>
      </c>
      <c r="F522" s="23">
        <v>45021</v>
      </c>
      <c r="G522" s="22">
        <v>18255.8</v>
      </c>
      <c r="H522">
        <f t="shared" si="17"/>
        <v>9.1736526284076844E-3</v>
      </c>
    </row>
    <row r="523" spans="1:8" x14ac:dyDescent="0.45">
      <c r="A523" s="23">
        <v>44990</v>
      </c>
      <c r="B523" s="22">
        <v>1212.05</v>
      </c>
      <c r="D523">
        <f t="shared" si="16"/>
        <v>2.4512911542200245E-2</v>
      </c>
      <c r="F523" s="23">
        <v>45051</v>
      </c>
      <c r="G523" s="22">
        <v>18069</v>
      </c>
      <c r="H523">
        <f t="shared" si="17"/>
        <v>-1.0232364508813598E-2</v>
      </c>
    </row>
    <row r="524" spans="1:8" x14ac:dyDescent="0.45">
      <c r="A524" s="23">
        <v>45021</v>
      </c>
      <c r="B524" s="22">
        <v>1150.9000000000001</v>
      </c>
      <c r="D524">
        <f t="shared" si="16"/>
        <v>-5.0451714038199633E-2</v>
      </c>
      <c r="F524" s="23">
        <v>45143</v>
      </c>
      <c r="G524" s="22">
        <v>18264.400000000001</v>
      </c>
      <c r="H524">
        <f t="shared" si="17"/>
        <v>1.0814101499806378E-2</v>
      </c>
    </row>
    <row r="525" spans="1:8" x14ac:dyDescent="0.45">
      <c r="A525" s="23">
        <v>45051</v>
      </c>
      <c r="B525" s="22">
        <v>1132.55</v>
      </c>
      <c r="D525">
        <f t="shared" si="16"/>
        <v>-1.5944043791815219E-2</v>
      </c>
      <c r="F525" s="23">
        <v>45174</v>
      </c>
      <c r="G525" s="22">
        <v>18265.95</v>
      </c>
      <c r="H525">
        <f t="shared" si="17"/>
        <v>8.4864545235500337E-5</v>
      </c>
    </row>
    <row r="526" spans="1:8" x14ac:dyDescent="0.45">
      <c r="A526" s="23">
        <v>45143</v>
      </c>
      <c r="B526" s="22">
        <v>1133</v>
      </c>
      <c r="D526">
        <f t="shared" si="16"/>
        <v>3.9733345106180345E-4</v>
      </c>
      <c r="F526" s="23">
        <v>45204</v>
      </c>
      <c r="G526" s="22">
        <v>18315.099999999999</v>
      </c>
      <c r="H526">
        <f t="shared" si="17"/>
        <v>2.690799000325623E-3</v>
      </c>
    </row>
    <row r="527" spans="1:8" x14ac:dyDescent="0.45">
      <c r="A527" s="23">
        <v>45174</v>
      </c>
      <c r="B527" s="22">
        <v>1136.55</v>
      </c>
      <c r="D527">
        <f t="shared" si="16"/>
        <v>3.1332744924977532E-3</v>
      </c>
      <c r="F527" s="23">
        <v>45235</v>
      </c>
      <c r="G527" s="22">
        <v>18297</v>
      </c>
      <c r="H527">
        <f t="shared" si="17"/>
        <v>-9.8825559237997857E-4</v>
      </c>
    </row>
    <row r="528" spans="1:8" x14ac:dyDescent="0.45">
      <c r="A528" s="23">
        <v>45204</v>
      </c>
      <c r="B528" s="22">
        <v>1134.3</v>
      </c>
      <c r="D528">
        <f t="shared" si="16"/>
        <v>-1.9796753332453477E-3</v>
      </c>
      <c r="F528" s="23">
        <v>45265</v>
      </c>
      <c r="G528" s="22">
        <v>18314.8</v>
      </c>
      <c r="H528">
        <f t="shared" si="17"/>
        <v>9.7283707711642744E-4</v>
      </c>
    </row>
    <row r="529" spans="1:8" x14ac:dyDescent="0.45">
      <c r="A529" s="23">
        <v>45235</v>
      </c>
      <c r="B529" s="22">
        <v>1141.6500000000001</v>
      </c>
      <c r="D529">
        <f t="shared" si="16"/>
        <v>6.4797672573394484E-3</v>
      </c>
      <c r="F529" s="21" t="s">
        <v>567</v>
      </c>
      <c r="G529" s="22">
        <v>18398.849999999999</v>
      </c>
      <c r="H529">
        <f t="shared" si="17"/>
        <v>4.5891847030816212E-3</v>
      </c>
    </row>
    <row r="530" spans="1:8" x14ac:dyDescent="0.45">
      <c r="A530" s="23">
        <v>45265</v>
      </c>
      <c r="B530" s="22">
        <v>1166.95</v>
      </c>
      <c r="D530">
        <f t="shared" si="16"/>
        <v>2.2160907458503003E-2</v>
      </c>
      <c r="F530" s="21" t="s">
        <v>568</v>
      </c>
      <c r="G530" s="22">
        <v>18286.5</v>
      </c>
      <c r="H530">
        <f t="shared" si="17"/>
        <v>-6.1063599083637597E-3</v>
      </c>
    </row>
    <row r="531" spans="1:8" x14ac:dyDescent="0.45">
      <c r="A531" s="21" t="s">
        <v>567</v>
      </c>
      <c r="B531" s="22">
        <v>1172.4000000000001</v>
      </c>
      <c r="D531">
        <f t="shared" si="16"/>
        <v>4.6702943570847465E-3</v>
      </c>
      <c r="F531" s="21" t="s">
        <v>569</v>
      </c>
      <c r="G531" s="22">
        <v>18181.75</v>
      </c>
      <c r="H531">
        <f t="shared" si="17"/>
        <v>-5.7282694884204198E-3</v>
      </c>
    </row>
    <row r="532" spans="1:8" x14ac:dyDescent="0.45">
      <c r="A532" s="21" t="s">
        <v>568</v>
      </c>
      <c r="B532" s="22">
        <v>1190.05</v>
      </c>
      <c r="D532">
        <f t="shared" si="16"/>
        <v>1.5054588877516088E-2</v>
      </c>
      <c r="F532" s="21" t="s">
        <v>570</v>
      </c>
      <c r="G532" s="22">
        <v>18129.95</v>
      </c>
      <c r="H532">
        <f t="shared" si="17"/>
        <v>-2.8490106837900241E-3</v>
      </c>
    </row>
    <row r="533" spans="1:8" x14ac:dyDescent="0.45">
      <c r="A533" s="21" t="s">
        <v>569</v>
      </c>
      <c r="B533" s="22">
        <v>1169.0999999999999</v>
      </c>
      <c r="D533">
        <f t="shared" si="16"/>
        <v>-1.7604302340237844E-2</v>
      </c>
      <c r="F533" s="21" t="s">
        <v>571</v>
      </c>
      <c r="G533" s="22">
        <v>18203.400000000001</v>
      </c>
      <c r="H533">
        <f t="shared" si="17"/>
        <v>4.0513073670915105E-3</v>
      </c>
    </row>
    <row r="534" spans="1:8" x14ac:dyDescent="0.45">
      <c r="A534" s="21" t="s">
        <v>570</v>
      </c>
      <c r="B534" s="22">
        <v>1168.5999999999999</v>
      </c>
      <c r="D534">
        <f t="shared" si="16"/>
        <v>-4.2767941151312982E-4</v>
      </c>
      <c r="F534" s="21" t="s">
        <v>572</v>
      </c>
      <c r="G534" s="22">
        <v>18314.400000000001</v>
      </c>
      <c r="H534">
        <f t="shared" si="17"/>
        <v>6.0977619565575659E-3</v>
      </c>
    </row>
    <row r="535" spans="1:8" x14ac:dyDescent="0.45">
      <c r="A535" s="21" t="s">
        <v>571</v>
      </c>
      <c r="B535" s="22">
        <v>1197.7</v>
      </c>
      <c r="D535">
        <f t="shared" si="16"/>
        <v>2.4901591648126081E-2</v>
      </c>
      <c r="F535" s="21" t="s">
        <v>573</v>
      </c>
      <c r="G535" s="22">
        <v>18348</v>
      </c>
      <c r="H535">
        <f t="shared" si="17"/>
        <v>1.8346219368365079E-3</v>
      </c>
    </row>
    <row r="536" spans="1:8" x14ac:dyDescent="0.45">
      <c r="A536" s="21" t="s">
        <v>572</v>
      </c>
      <c r="B536" s="22">
        <v>1211.4000000000001</v>
      </c>
      <c r="D536">
        <f t="shared" si="16"/>
        <v>1.143859063204479E-2</v>
      </c>
      <c r="F536" s="21" t="s">
        <v>574</v>
      </c>
      <c r="G536" s="22">
        <v>18285.400000000001</v>
      </c>
      <c r="H536">
        <f t="shared" si="17"/>
        <v>-3.4118160017439802E-3</v>
      </c>
    </row>
    <row r="537" spans="1:8" x14ac:dyDescent="0.45">
      <c r="A537" s="21" t="s">
        <v>573</v>
      </c>
      <c r="B537" s="22">
        <v>1210.8499999999999</v>
      </c>
      <c r="D537">
        <f t="shared" si="16"/>
        <v>-4.5402014198463089E-4</v>
      </c>
      <c r="F537" s="21" t="s">
        <v>575</v>
      </c>
      <c r="G537" s="22">
        <v>18321.150000000001</v>
      </c>
      <c r="H537">
        <f t="shared" si="17"/>
        <v>1.9551117284828333E-3</v>
      </c>
    </row>
    <row r="538" spans="1:8" x14ac:dyDescent="0.45">
      <c r="A538" s="21" t="s">
        <v>574</v>
      </c>
      <c r="B538" s="22">
        <v>1204.55</v>
      </c>
      <c r="D538">
        <f t="shared" si="16"/>
        <v>-5.2029566007349834E-3</v>
      </c>
      <c r="F538" s="21" t="s">
        <v>576</v>
      </c>
      <c r="G538" s="22">
        <v>18499.349999999999</v>
      </c>
      <c r="H538">
        <f t="shared" si="17"/>
        <v>9.7264636772253412E-3</v>
      </c>
    </row>
    <row r="539" spans="1:8" x14ac:dyDescent="0.45">
      <c r="A539" s="21" t="s">
        <v>575</v>
      </c>
      <c r="B539" s="22">
        <v>1203.75</v>
      </c>
      <c r="D539">
        <f t="shared" si="16"/>
        <v>-6.6414843717567103E-4</v>
      </c>
      <c r="F539" s="21" t="s">
        <v>577</v>
      </c>
      <c r="G539" s="22">
        <v>18598.650000000001</v>
      </c>
      <c r="H539">
        <f t="shared" si="17"/>
        <v>5.3677561644059337E-3</v>
      </c>
    </row>
    <row r="540" spans="1:8" x14ac:dyDescent="0.45">
      <c r="A540" s="21" t="s">
        <v>576</v>
      </c>
      <c r="B540" s="22">
        <v>1219.8</v>
      </c>
      <c r="D540">
        <f t="shared" si="16"/>
        <v>1.3333333333333296E-2</v>
      </c>
      <c r="F540" s="21" t="s">
        <v>578</v>
      </c>
      <c r="G540" s="22">
        <v>18633.849999999999</v>
      </c>
      <c r="H540">
        <f t="shared" si="17"/>
        <v>1.8926104851694659E-3</v>
      </c>
    </row>
    <row r="541" spans="1:8" x14ac:dyDescent="0.45">
      <c r="A541" s="21" t="s">
        <v>577</v>
      </c>
      <c r="B541" s="22">
        <v>1154.8</v>
      </c>
      <c r="D541">
        <f t="shared" si="16"/>
        <v>-5.3287424167896377E-2</v>
      </c>
      <c r="F541" s="21" t="s">
        <v>579</v>
      </c>
      <c r="G541" s="22">
        <v>18534.400000000001</v>
      </c>
      <c r="H541">
        <f t="shared" si="17"/>
        <v>-5.3370613158309791E-3</v>
      </c>
    </row>
    <row r="542" spans="1:8" x14ac:dyDescent="0.45">
      <c r="A542" s="21" t="s">
        <v>578</v>
      </c>
      <c r="B542" s="22">
        <v>1129.3499999999999</v>
      </c>
      <c r="D542">
        <f t="shared" si="16"/>
        <v>-2.2038448216141364E-2</v>
      </c>
      <c r="F542" s="23">
        <v>44932</v>
      </c>
      <c r="G542" s="22">
        <v>18487.75</v>
      </c>
      <c r="H542">
        <f t="shared" si="17"/>
        <v>-2.5169414709945537E-3</v>
      </c>
    </row>
    <row r="543" spans="1:8" x14ac:dyDescent="0.45">
      <c r="A543" s="21" t="s">
        <v>579</v>
      </c>
      <c r="B543" s="22">
        <v>1166</v>
      </c>
      <c r="D543">
        <f t="shared" si="16"/>
        <v>3.2452295568247302E-2</v>
      </c>
      <c r="F543" s="23">
        <v>44963</v>
      </c>
      <c r="G543" s="22">
        <v>18534.099999999999</v>
      </c>
      <c r="H543">
        <f t="shared" si="17"/>
        <v>2.5070654893104105E-3</v>
      </c>
    </row>
    <row r="544" spans="1:8" x14ac:dyDescent="0.45">
      <c r="A544" s="23">
        <v>44932</v>
      </c>
      <c r="B544" s="22">
        <v>1115.3</v>
      </c>
      <c r="D544">
        <f t="shared" si="16"/>
        <v>-4.348198970840484E-2</v>
      </c>
      <c r="F544" s="23">
        <v>45052</v>
      </c>
      <c r="G544" s="22">
        <v>18593.849999999999</v>
      </c>
      <c r="H544">
        <f t="shared" si="17"/>
        <v>3.2237875051931309E-3</v>
      </c>
    </row>
    <row r="545" spans="1:8" x14ac:dyDescent="0.45">
      <c r="A545" s="23">
        <v>44963</v>
      </c>
      <c r="B545" s="22">
        <v>1118.3499999999999</v>
      </c>
      <c r="D545">
        <f t="shared" si="16"/>
        <v>2.7346902178785569E-3</v>
      </c>
      <c r="F545" s="23">
        <v>45083</v>
      </c>
      <c r="G545" s="22">
        <v>18599</v>
      </c>
      <c r="H545">
        <f t="shared" si="17"/>
        <v>2.7697330031174045E-4</v>
      </c>
    </row>
    <row r="546" spans="1:8" x14ac:dyDescent="0.45">
      <c r="A546" s="23">
        <v>45052</v>
      </c>
      <c r="B546" s="22">
        <v>1131.0999999999999</v>
      </c>
      <c r="D546">
        <f t="shared" si="16"/>
        <v>1.1400724281307284E-2</v>
      </c>
      <c r="F546" s="23">
        <v>45113</v>
      </c>
      <c r="G546" s="22">
        <v>18726.400000000001</v>
      </c>
      <c r="H546">
        <f t="shared" si="17"/>
        <v>6.8498306360557804E-3</v>
      </c>
    </row>
    <row r="547" spans="1:8" x14ac:dyDescent="0.45">
      <c r="A547" s="23">
        <v>45083</v>
      </c>
      <c r="B547" s="22">
        <v>1100.45</v>
      </c>
      <c r="D547">
        <f t="shared" si="16"/>
        <v>-2.7097515692688416E-2</v>
      </c>
      <c r="F547" s="23">
        <v>45144</v>
      </c>
      <c r="G547" s="22">
        <v>18634.55</v>
      </c>
      <c r="H547">
        <f t="shared" si="17"/>
        <v>-4.9048402255640264E-3</v>
      </c>
    </row>
    <row r="548" spans="1:8" x14ac:dyDescent="0.45">
      <c r="A548" s="23">
        <v>45113</v>
      </c>
      <c r="B548" s="22">
        <v>1085.05</v>
      </c>
      <c r="D548">
        <f t="shared" si="16"/>
        <v>-1.3994275069289918E-2</v>
      </c>
      <c r="F548" s="23">
        <v>45175</v>
      </c>
      <c r="G548" s="22">
        <v>18563.400000000001</v>
      </c>
      <c r="H548">
        <f t="shared" si="17"/>
        <v>-3.8181764518058028E-3</v>
      </c>
    </row>
    <row r="549" spans="1:8" x14ac:dyDescent="0.45">
      <c r="A549" s="23">
        <v>45144</v>
      </c>
      <c r="B549" s="22">
        <v>1085.3499999999999</v>
      </c>
      <c r="D549">
        <f t="shared" si="16"/>
        <v>2.7648495461034473E-4</v>
      </c>
      <c r="F549" s="23">
        <v>45266</v>
      </c>
      <c r="G549" s="22">
        <v>18601.5</v>
      </c>
      <c r="H549">
        <f t="shared" si="17"/>
        <v>2.0524257409740964E-3</v>
      </c>
    </row>
    <row r="550" spans="1:8" x14ac:dyDescent="0.45">
      <c r="A550" s="23">
        <v>45175</v>
      </c>
      <c r="B550" s="22">
        <v>1084.55</v>
      </c>
      <c r="D550">
        <f t="shared" si="16"/>
        <v>-7.3708941815999872E-4</v>
      </c>
      <c r="F550" s="21" t="s">
        <v>580</v>
      </c>
      <c r="G550" s="22">
        <v>18716.150000000001</v>
      </c>
      <c r="H550">
        <f t="shared" si="17"/>
        <v>6.1634814396689221E-3</v>
      </c>
    </row>
    <row r="551" spans="1:8" x14ac:dyDescent="0.45">
      <c r="A551" s="23">
        <v>45266</v>
      </c>
      <c r="B551" s="22">
        <v>1079.6500000000001</v>
      </c>
      <c r="D551">
        <f t="shared" si="16"/>
        <v>-4.5180028583282133E-3</v>
      </c>
      <c r="F551" s="21" t="s">
        <v>581</v>
      </c>
      <c r="G551" s="22">
        <v>18755.900000000001</v>
      </c>
      <c r="H551">
        <f t="shared" si="17"/>
        <v>2.1238342287275961E-3</v>
      </c>
    </row>
    <row r="552" spans="1:8" x14ac:dyDescent="0.45">
      <c r="A552" s="21" t="s">
        <v>580</v>
      </c>
      <c r="B552" s="22">
        <v>1085.5</v>
      </c>
      <c r="D552">
        <f t="shared" si="16"/>
        <v>5.4184226369655983E-3</v>
      </c>
      <c r="F552" s="21" t="s">
        <v>582</v>
      </c>
      <c r="G552" s="22">
        <v>18688.099999999999</v>
      </c>
      <c r="H552">
        <f t="shared" si="17"/>
        <v>-3.6148625232595025E-3</v>
      </c>
    </row>
    <row r="553" spans="1:8" x14ac:dyDescent="0.45">
      <c r="A553" s="21" t="s">
        <v>581</v>
      </c>
      <c r="B553" s="22">
        <v>1073.3</v>
      </c>
      <c r="D553">
        <f t="shared" si="16"/>
        <v>-1.1239060340856789E-2</v>
      </c>
      <c r="F553" s="21" t="s">
        <v>583</v>
      </c>
      <c r="G553" s="22">
        <v>18826</v>
      </c>
      <c r="H553">
        <f t="shared" si="17"/>
        <v>7.3790272954447735E-3</v>
      </c>
    </row>
    <row r="554" spans="1:8" x14ac:dyDescent="0.45">
      <c r="A554" s="21" t="s">
        <v>582</v>
      </c>
      <c r="B554" s="22">
        <v>1083.4000000000001</v>
      </c>
      <c r="D554">
        <f t="shared" si="16"/>
        <v>9.4102301313706664E-3</v>
      </c>
      <c r="F554" s="21" t="s">
        <v>584</v>
      </c>
      <c r="G554" s="22">
        <v>18755.45</v>
      </c>
      <c r="H554">
        <f t="shared" si="17"/>
        <v>-3.7474768936576687E-3</v>
      </c>
    </row>
    <row r="555" spans="1:8" x14ac:dyDescent="0.45">
      <c r="A555" s="21" t="s">
        <v>583</v>
      </c>
      <c r="B555" s="22">
        <v>1083.5999999999999</v>
      </c>
      <c r="D555">
        <f t="shared" si="16"/>
        <v>1.846040243675633E-4</v>
      </c>
      <c r="F555" s="21" t="s">
        <v>585</v>
      </c>
      <c r="G555" s="22">
        <v>18816.7</v>
      </c>
      <c r="H555">
        <f t="shared" si="17"/>
        <v>3.2657174314665869E-3</v>
      </c>
    </row>
    <row r="556" spans="1:8" x14ac:dyDescent="0.45">
      <c r="A556" s="21" t="s">
        <v>584</v>
      </c>
      <c r="B556" s="22">
        <v>1081.3</v>
      </c>
      <c r="D556">
        <f t="shared" si="16"/>
        <v>-2.1225544481358015E-3</v>
      </c>
      <c r="F556" s="21" t="s">
        <v>586</v>
      </c>
      <c r="G556" s="22">
        <v>18856.849999999999</v>
      </c>
      <c r="H556">
        <f t="shared" si="17"/>
        <v>2.1337428985952808E-3</v>
      </c>
    </row>
    <row r="557" spans="1:8" x14ac:dyDescent="0.45">
      <c r="A557" s="21" t="s">
        <v>585</v>
      </c>
      <c r="B557" s="22">
        <v>1054.3</v>
      </c>
      <c r="D557">
        <f t="shared" si="16"/>
        <v>-2.4969943586423751E-2</v>
      </c>
      <c r="F557" s="21" t="s">
        <v>587</v>
      </c>
      <c r="G557" s="22">
        <v>18771.25</v>
      </c>
      <c r="H557">
        <f t="shared" si="17"/>
        <v>-4.5394644386521901E-3</v>
      </c>
    </row>
    <row r="558" spans="1:8" x14ac:dyDescent="0.45">
      <c r="A558" s="21" t="s">
        <v>586</v>
      </c>
      <c r="B558" s="22">
        <v>1047.2</v>
      </c>
      <c r="D558">
        <f t="shared" si="16"/>
        <v>-6.7343260931422835E-3</v>
      </c>
      <c r="F558" s="21" t="s">
        <v>588</v>
      </c>
      <c r="G558" s="22">
        <v>18665.5</v>
      </c>
      <c r="H558">
        <f t="shared" si="17"/>
        <v>-5.6336152360657917E-3</v>
      </c>
    </row>
    <row r="559" spans="1:8" x14ac:dyDescent="0.45">
      <c r="A559" s="21" t="s">
        <v>587</v>
      </c>
      <c r="B559" s="22">
        <v>1047.8499999999999</v>
      </c>
      <c r="D559">
        <f t="shared" si="16"/>
        <v>6.2070282658504921E-4</v>
      </c>
      <c r="F559" s="21" t="s">
        <v>589</v>
      </c>
      <c r="G559" s="22">
        <v>18691.2</v>
      </c>
      <c r="H559">
        <f t="shared" si="17"/>
        <v>1.3768717687713014E-3</v>
      </c>
    </row>
    <row r="560" spans="1:8" x14ac:dyDescent="0.45">
      <c r="A560" s="21" t="s">
        <v>588</v>
      </c>
      <c r="B560" s="22">
        <v>1037.55</v>
      </c>
      <c r="D560">
        <f t="shared" si="16"/>
        <v>-9.829651190532954E-3</v>
      </c>
      <c r="F560" s="21" t="s">
        <v>590</v>
      </c>
      <c r="G560" s="22">
        <v>18817.400000000001</v>
      </c>
      <c r="H560">
        <f t="shared" si="17"/>
        <v>6.7518404382811547E-3</v>
      </c>
    </row>
    <row r="561" spans="1:8" x14ac:dyDescent="0.45">
      <c r="A561" s="21" t="s">
        <v>589</v>
      </c>
      <c r="B561" s="22">
        <v>1028.6500000000001</v>
      </c>
      <c r="D561">
        <f t="shared" si="16"/>
        <v>-8.5778998602475676E-3</v>
      </c>
      <c r="F561" s="21" t="s">
        <v>591</v>
      </c>
      <c r="G561" s="22">
        <v>18972.099999999999</v>
      </c>
      <c r="H561">
        <f t="shared" si="17"/>
        <v>8.2211145004090404E-3</v>
      </c>
    </row>
    <row r="562" spans="1:8" x14ac:dyDescent="0.45">
      <c r="A562" s="21" t="s">
        <v>590</v>
      </c>
      <c r="B562" s="22">
        <v>1039.2</v>
      </c>
      <c r="D562">
        <f t="shared" si="16"/>
        <v>1.0256160987702283E-2</v>
      </c>
      <c r="F562" s="21" t="s">
        <v>592</v>
      </c>
      <c r="G562" s="22">
        <v>19189.05</v>
      </c>
      <c r="H562">
        <f t="shared" si="17"/>
        <v>1.1435212759789414E-2</v>
      </c>
    </row>
    <row r="563" spans="1:8" x14ac:dyDescent="0.45">
      <c r="A563" s="21" t="s">
        <v>591</v>
      </c>
      <c r="B563" s="22">
        <v>1027.2</v>
      </c>
      <c r="D563">
        <f t="shared" si="16"/>
        <v>-1.1547344110854504E-2</v>
      </c>
      <c r="F563" s="23">
        <v>44992</v>
      </c>
      <c r="G563" s="22">
        <v>19322.55</v>
      </c>
      <c r="H563">
        <f t="shared" si="17"/>
        <v>6.9570927169401303E-3</v>
      </c>
    </row>
    <row r="564" spans="1:8" x14ac:dyDescent="0.45">
      <c r="A564" s="21" t="s">
        <v>592</v>
      </c>
      <c r="B564" s="22">
        <v>1030</v>
      </c>
      <c r="D564">
        <f t="shared" si="16"/>
        <v>2.7258566978192703E-3</v>
      </c>
      <c r="F564" s="23">
        <v>45023</v>
      </c>
      <c r="G564" s="22">
        <v>19389</v>
      </c>
      <c r="H564">
        <f t="shared" si="17"/>
        <v>3.4389870902132862E-3</v>
      </c>
    </row>
    <row r="565" spans="1:8" x14ac:dyDescent="0.45">
      <c r="A565" s="23">
        <v>44992</v>
      </c>
      <c r="B565" s="22">
        <v>1004.6</v>
      </c>
      <c r="D565">
        <f t="shared" si="16"/>
        <v>-2.4660194174757261E-2</v>
      </c>
      <c r="F565" s="23">
        <v>45053</v>
      </c>
      <c r="G565" s="22">
        <v>19398.5</v>
      </c>
      <c r="H565">
        <f t="shared" si="17"/>
        <v>4.8996853886224153E-4</v>
      </c>
    </row>
    <row r="566" spans="1:8" x14ac:dyDescent="0.45">
      <c r="A566" s="23">
        <v>45023</v>
      </c>
      <c r="B566" s="22">
        <v>997.75</v>
      </c>
      <c r="D566">
        <f t="shared" si="16"/>
        <v>-6.8186342823014362E-3</v>
      </c>
      <c r="F566" s="23">
        <v>45084</v>
      </c>
      <c r="G566" s="22">
        <v>19497.3</v>
      </c>
      <c r="H566">
        <f t="shared" si="17"/>
        <v>5.0931773075237399E-3</v>
      </c>
    </row>
    <row r="567" spans="1:8" x14ac:dyDescent="0.45">
      <c r="A567" s="23">
        <v>45053</v>
      </c>
      <c r="B567" s="22">
        <v>970.05</v>
      </c>
      <c r="D567">
        <f t="shared" si="16"/>
        <v>-2.7762465547481879E-2</v>
      </c>
      <c r="F567" s="23">
        <v>45114</v>
      </c>
      <c r="G567" s="22">
        <v>19331.8</v>
      </c>
      <c r="H567">
        <f t="shared" si="17"/>
        <v>-8.4883547978438049E-3</v>
      </c>
    </row>
    <row r="568" spans="1:8" x14ac:dyDescent="0.45">
      <c r="A568" s="23">
        <v>45084</v>
      </c>
      <c r="B568" s="22">
        <v>997</v>
      </c>
      <c r="D568">
        <f t="shared" si="16"/>
        <v>2.7782073089016077E-2</v>
      </c>
      <c r="F568" s="23">
        <v>45206</v>
      </c>
      <c r="G568" s="22">
        <v>19355.900000000001</v>
      </c>
      <c r="H568">
        <f t="shared" si="17"/>
        <v>1.2466505964267261E-3</v>
      </c>
    </row>
    <row r="569" spans="1:8" x14ac:dyDescent="0.45">
      <c r="A569" s="23">
        <v>45114</v>
      </c>
      <c r="B569" s="22">
        <v>992.85</v>
      </c>
      <c r="D569">
        <f t="shared" si="16"/>
        <v>-4.1624874623871384E-3</v>
      </c>
      <c r="F569" s="23">
        <v>45237</v>
      </c>
      <c r="G569" s="22">
        <v>19439.400000000001</v>
      </c>
      <c r="H569">
        <f t="shared" si="17"/>
        <v>4.3139301194984473E-3</v>
      </c>
    </row>
    <row r="570" spans="1:8" x14ac:dyDescent="0.45">
      <c r="A570" s="23">
        <v>45206</v>
      </c>
      <c r="B570" s="22">
        <v>986.95</v>
      </c>
      <c r="D570">
        <f t="shared" si="16"/>
        <v>-5.9424887948833936E-3</v>
      </c>
      <c r="F570" s="23">
        <v>45267</v>
      </c>
      <c r="G570" s="22">
        <v>19384.3</v>
      </c>
      <c r="H570">
        <f t="shared" si="17"/>
        <v>-2.8344496229308611E-3</v>
      </c>
    </row>
    <row r="571" spans="1:8" x14ac:dyDescent="0.45">
      <c r="A571" s="23">
        <v>45237</v>
      </c>
      <c r="B571" s="22">
        <v>986.15</v>
      </c>
      <c r="D571">
        <f t="shared" si="16"/>
        <v>-8.1057804346731661E-4</v>
      </c>
      <c r="F571" s="21" t="s">
        <v>593</v>
      </c>
      <c r="G571" s="22">
        <v>19413.75</v>
      </c>
      <c r="H571">
        <f t="shared" si="17"/>
        <v>1.5192707500400185E-3</v>
      </c>
    </row>
    <row r="572" spans="1:8" x14ac:dyDescent="0.45">
      <c r="A572" s="23">
        <v>45267</v>
      </c>
      <c r="B572" s="22">
        <v>1035.4000000000001</v>
      </c>
      <c r="D572">
        <f t="shared" si="16"/>
        <v>4.9941692440298245E-2</v>
      </c>
      <c r="F572" s="21" t="s">
        <v>594</v>
      </c>
      <c r="G572" s="22">
        <v>19564.5</v>
      </c>
      <c r="H572">
        <f t="shared" si="17"/>
        <v>7.7651149314274673E-3</v>
      </c>
    </row>
    <row r="573" spans="1:8" x14ac:dyDescent="0.45">
      <c r="A573" s="21" t="s">
        <v>593</v>
      </c>
      <c r="B573" s="22">
        <v>1039.45</v>
      </c>
      <c r="D573">
        <f t="shared" si="16"/>
        <v>3.9115317751593146E-3</v>
      </c>
      <c r="F573" s="21" t="s">
        <v>595</v>
      </c>
      <c r="G573" s="22">
        <v>19711.45</v>
      </c>
      <c r="H573">
        <f t="shared" si="17"/>
        <v>7.511053183061194E-3</v>
      </c>
    </row>
    <row r="574" spans="1:8" x14ac:dyDescent="0.45">
      <c r="A574" s="21" t="s">
        <v>594</v>
      </c>
      <c r="B574" s="22">
        <v>1018.7</v>
      </c>
      <c r="D574">
        <f t="shared" si="16"/>
        <v>-1.9962480157775745E-2</v>
      </c>
      <c r="F574" s="21" t="s">
        <v>596</v>
      </c>
      <c r="G574" s="22">
        <v>19749.25</v>
      </c>
      <c r="H574">
        <f t="shared" si="17"/>
        <v>1.9176671427012864E-3</v>
      </c>
    </row>
    <row r="575" spans="1:8" x14ac:dyDescent="0.45">
      <c r="A575" s="21" t="s">
        <v>595</v>
      </c>
      <c r="B575" s="22">
        <v>1007.75</v>
      </c>
      <c r="D575">
        <f t="shared" si="16"/>
        <v>-1.0748993815647439E-2</v>
      </c>
      <c r="F575" s="21" t="s">
        <v>597</v>
      </c>
      <c r="G575" s="22">
        <v>19833.150000000001</v>
      </c>
      <c r="H575">
        <f t="shared" si="17"/>
        <v>4.248262592250412E-3</v>
      </c>
    </row>
    <row r="576" spans="1:8" x14ac:dyDescent="0.45">
      <c r="A576" s="21" t="s">
        <v>596</v>
      </c>
      <c r="B576" s="22">
        <v>999.8</v>
      </c>
      <c r="D576">
        <f t="shared" si="16"/>
        <v>-7.8888613247333622E-3</v>
      </c>
      <c r="F576" s="21" t="s">
        <v>598</v>
      </c>
      <c r="G576" s="22">
        <v>19979.150000000001</v>
      </c>
      <c r="H576">
        <f t="shared" si="17"/>
        <v>7.3614125844860745E-3</v>
      </c>
    </row>
    <row r="577" spans="1:8" x14ac:dyDescent="0.45">
      <c r="A577" s="21" t="s">
        <v>597</v>
      </c>
      <c r="B577" s="22">
        <v>991.5</v>
      </c>
      <c r="D577">
        <f t="shared" si="16"/>
        <v>-8.3016603320663681E-3</v>
      </c>
      <c r="F577" s="21" t="s">
        <v>599</v>
      </c>
      <c r="G577" s="22">
        <v>19745</v>
      </c>
      <c r="H577">
        <f t="shared" si="17"/>
        <v>-1.1719717805812631E-2</v>
      </c>
    </row>
    <row r="578" spans="1:8" x14ac:dyDescent="0.45">
      <c r="A578" s="21" t="s">
        <v>598</v>
      </c>
      <c r="B578" s="22">
        <v>980.8</v>
      </c>
      <c r="D578">
        <f t="shared" si="16"/>
        <v>-1.079172970247105E-2</v>
      </c>
      <c r="F578" s="21" t="s">
        <v>600</v>
      </c>
      <c r="G578" s="22">
        <v>19672.349999999999</v>
      </c>
      <c r="H578">
        <f t="shared" si="17"/>
        <v>-3.6794125094961488E-3</v>
      </c>
    </row>
    <row r="579" spans="1:8" x14ac:dyDescent="0.45">
      <c r="A579" s="21" t="s">
        <v>599</v>
      </c>
      <c r="B579" s="22">
        <v>979.7</v>
      </c>
      <c r="D579">
        <f t="shared" si="16"/>
        <v>-1.1215334420879987E-3</v>
      </c>
      <c r="F579" s="21" t="s">
        <v>601</v>
      </c>
      <c r="G579" s="22">
        <v>19680.599999999999</v>
      </c>
      <c r="H579">
        <f t="shared" si="17"/>
        <v>4.1937033450502868E-4</v>
      </c>
    </row>
    <row r="580" spans="1:8" x14ac:dyDescent="0.45">
      <c r="A580" s="21" t="s">
        <v>600</v>
      </c>
      <c r="B580" s="22">
        <v>980.2</v>
      </c>
      <c r="D580">
        <f t="shared" ref="D580:D643" si="18">(B580-B579)/B579</f>
        <v>5.1036031438195359E-4</v>
      </c>
      <c r="F580" s="21" t="s">
        <v>602</v>
      </c>
      <c r="G580" s="22">
        <v>19778.3</v>
      </c>
      <c r="H580">
        <f t="shared" si="17"/>
        <v>4.9642795443228726E-3</v>
      </c>
    </row>
    <row r="581" spans="1:8" x14ac:dyDescent="0.45">
      <c r="A581" s="21" t="s">
        <v>601</v>
      </c>
      <c r="B581" s="22">
        <v>983.2</v>
      </c>
      <c r="D581">
        <f t="shared" si="18"/>
        <v>3.0605998775760047E-3</v>
      </c>
      <c r="F581" s="21" t="s">
        <v>603</v>
      </c>
      <c r="G581" s="22">
        <v>19659.900000000001</v>
      </c>
      <c r="H581">
        <f t="shared" ref="H581:H644" si="19">(G581-G580)/G580</f>
        <v>-5.9863587871555098E-3</v>
      </c>
    </row>
    <row r="582" spans="1:8" x14ac:dyDescent="0.45">
      <c r="A582" s="21" t="s">
        <v>602</v>
      </c>
      <c r="B582" s="22">
        <v>977.65</v>
      </c>
      <c r="D582">
        <f t="shared" si="18"/>
        <v>-5.6448331977217939E-3</v>
      </c>
      <c r="F582" s="21" t="s">
        <v>604</v>
      </c>
      <c r="G582" s="22">
        <v>19646.05</v>
      </c>
      <c r="H582">
        <f t="shared" si="19"/>
        <v>-7.0447967690589379E-4</v>
      </c>
    </row>
    <row r="583" spans="1:8" x14ac:dyDescent="0.45">
      <c r="A583" s="21" t="s">
        <v>603</v>
      </c>
      <c r="B583" s="22">
        <v>973.1</v>
      </c>
      <c r="D583">
        <f t="shared" si="18"/>
        <v>-4.6540172863498742E-3</v>
      </c>
      <c r="F583" s="21" t="s">
        <v>605</v>
      </c>
      <c r="G583" s="22">
        <v>19753.8</v>
      </c>
      <c r="H583">
        <f t="shared" si="19"/>
        <v>5.4845630546598431E-3</v>
      </c>
    </row>
    <row r="584" spans="1:8" x14ac:dyDescent="0.45">
      <c r="A584" s="21" t="s">
        <v>604</v>
      </c>
      <c r="B584" s="22">
        <v>976.75</v>
      </c>
      <c r="D584">
        <f t="shared" si="18"/>
        <v>3.7508991881615222E-3</v>
      </c>
      <c r="F584" s="23">
        <v>44934</v>
      </c>
      <c r="G584" s="22">
        <v>19733.55</v>
      </c>
      <c r="H584">
        <f t="shared" si="19"/>
        <v>-1.0251192175682654E-3</v>
      </c>
    </row>
    <row r="585" spans="1:8" x14ac:dyDescent="0.45">
      <c r="A585" s="21" t="s">
        <v>605</v>
      </c>
      <c r="B585" s="22">
        <v>974.9</v>
      </c>
      <c r="D585">
        <f t="shared" si="18"/>
        <v>-1.8940363450217791E-3</v>
      </c>
      <c r="F585" s="23">
        <v>44965</v>
      </c>
      <c r="G585" s="22">
        <v>19526.55</v>
      </c>
      <c r="H585">
        <f t="shared" si="19"/>
        <v>-1.0489749690248334E-2</v>
      </c>
    </row>
    <row r="586" spans="1:8" x14ac:dyDescent="0.45">
      <c r="A586" s="23">
        <v>44934</v>
      </c>
      <c r="B586" s="22">
        <v>959.8</v>
      </c>
      <c r="D586">
        <f t="shared" si="18"/>
        <v>-1.5488768078777334E-2</v>
      </c>
      <c r="F586" s="23">
        <v>44993</v>
      </c>
      <c r="G586" s="22">
        <v>19381.650000000001</v>
      </c>
      <c r="H586">
        <f t="shared" si="19"/>
        <v>-7.4206657089961013E-3</v>
      </c>
    </row>
    <row r="587" spans="1:8" x14ac:dyDescent="0.45">
      <c r="A587" s="23">
        <v>44965</v>
      </c>
      <c r="B587" s="22">
        <v>926</v>
      </c>
      <c r="D587">
        <f t="shared" si="18"/>
        <v>-3.5215669931235628E-2</v>
      </c>
      <c r="F587" s="23">
        <v>45024</v>
      </c>
      <c r="G587" s="22">
        <v>19517</v>
      </c>
      <c r="H587">
        <f t="shared" si="19"/>
        <v>6.9834095652330187E-3</v>
      </c>
    </row>
    <row r="588" spans="1:8" x14ac:dyDescent="0.45">
      <c r="A588" s="23">
        <v>44993</v>
      </c>
      <c r="B588" s="22">
        <v>927.15</v>
      </c>
      <c r="D588">
        <f t="shared" si="18"/>
        <v>1.2419006479481396E-3</v>
      </c>
      <c r="F588" s="23">
        <v>45115</v>
      </c>
      <c r="G588" s="22">
        <v>19597.3</v>
      </c>
      <c r="H588">
        <f t="shared" si="19"/>
        <v>4.1143618383972574E-3</v>
      </c>
    </row>
    <row r="589" spans="1:8" x14ac:dyDescent="0.45">
      <c r="A589" s="23">
        <v>45024</v>
      </c>
      <c r="B589" s="22">
        <v>930.15</v>
      </c>
      <c r="D589">
        <f t="shared" si="18"/>
        <v>3.2357223750202235E-3</v>
      </c>
      <c r="F589" s="23">
        <v>45146</v>
      </c>
      <c r="G589" s="22">
        <v>19570.849999999999</v>
      </c>
      <c r="H589">
        <f t="shared" si="19"/>
        <v>-1.3496757206350226E-3</v>
      </c>
    </row>
    <row r="590" spans="1:8" x14ac:dyDescent="0.45">
      <c r="A590" s="23">
        <v>45115</v>
      </c>
      <c r="B590" s="22">
        <v>926.15</v>
      </c>
      <c r="D590">
        <f t="shared" si="18"/>
        <v>-4.3003816588722248E-3</v>
      </c>
      <c r="F590" s="23">
        <v>45177</v>
      </c>
      <c r="G590" s="22">
        <v>19632.55</v>
      </c>
      <c r="H590">
        <f t="shared" si="19"/>
        <v>3.1526479432421551E-3</v>
      </c>
    </row>
    <row r="591" spans="1:8" x14ac:dyDescent="0.45">
      <c r="A591" s="23">
        <v>45146</v>
      </c>
      <c r="B591" s="22">
        <v>931.5</v>
      </c>
      <c r="D591">
        <f t="shared" si="18"/>
        <v>5.7766020623009479E-3</v>
      </c>
      <c r="F591" s="23">
        <v>45207</v>
      </c>
      <c r="G591" s="22">
        <v>19543.099999999999</v>
      </c>
      <c r="H591">
        <f t="shared" si="19"/>
        <v>-4.5562089489139587E-3</v>
      </c>
    </row>
    <row r="592" spans="1:8" x14ac:dyDescent="0.45">
      <c r="A592" s="23">
        <v>45177</v>
      </c>
      <c r="B592" s="22">
        <v>941</v>
      </c>
      <c r="D592">
        <f t="shared" si="18"/>
        <v>1.0198604401502952E-2</v>
      </c>
      <c r="F592" s="23">
        <v>45238</v>
      </c>
      <c r="G592" s="22">
        <v>19428.3</v>
      </c>
      <c r="H592">
        <f t="shared" si="19"/>
        <v>-5.8741960077981119E-3</v>
      </c>
    </row>
    <row r="593" spans="1:8" x14ac:dyDescent="0.45">
      <c r="A593" s="23">
        <v>45207</v>
      </c>
      <c r="B593" s="22">
        <v>953.35</v>
      </c>
      <c r="D593">
        <f t="shared" si="18"/>
        <v>1.3124335812964955E-2</v>
      </c>
      <c r="F593" s="21" t="s">
        <v>606</v>
      </c>
      <c r="G593" s="22">
        <v>19434.55</v>
      </c>
      <c r="H593">
        <f t="shared" si="19"/>
        <v>3.2169567074834135E-4</v>
      </c>
    </row>
    <row r="594" spans="1:8" x14ac:dyDescent="0.45">
      <c r="A594" s="23">
        <v>45238</v>
      </c>
      <c r="B594" s="22">
        <v>950.6</v>
      </c>
      <c r="D594">
        <f t="shared" si="18"/>
        <v>-2.8845649551581267E-3</v>
      </c>
      <c r="F594" s="21" t="s">
        <v>607</v>
      </c>
      <c r="G594" s="22">
        <v>19465</v>
      </c>
      <c r="H594">
        <f t="shared" si="19"/>
        <v>1.5667972759853318E-3</v>
      </c>
    </row>
    <row r="595" spans="1:8" x14ac:dyDescent="0.45">
      <c r="A595" s="21" t="s">
        <v>606</v>
      </c>
      <c r="B595" s="22">
        <v>948.85</v>
      </c>
      <c r="D595">
        <f t="shared" si="18"/>
        <v>-1.8409425625920471E-3</v>
      </c>
      <c r="F595" s="21" t="s">
        <v>608</v>
      </c>
      <c r="G595" s="22">
        <v>19365.25</v>
      </c>
      <c r="H595">
        <f t="shared" si="19"/>
        <v>-5.124582584125353E-3</v>
      </c>
    </row>
    <row r="596" spans="1:8" x14ac:dyDescent="0.45">
      <c r="A596" s="21" t="s">
        <v>607</v>
      </c>
      <c r="B596" s="22">
        <v>943.9</v>
      </c>
      <c r="D596">
        <f t="shared" si="18"/>
        <v>-5.2168414396375033E-3</v>
      </c>
      <c r="F596" s="21" t="s">
        <v>609</v>
      </c>
      <c r="G596" s="22">
        <v>19310.150000000001</v>
      </c>
      <c r="H596">
        <f t="shared" si="19"/>
        <v>-2.8453027975367498E-3</v>
      </c>
    </row>
    <row r="597" spans="1:8" x14ac:dyDescent="0.45">
      <c r="A597" s="21" t="s">
        <v>608</v>
      </c>
      <c r="B597" s="22">
        <v>941.95</v>
      </c>
      <c r="D597">
        <f t="shared" si="18"/>
        <v>-2.0658968111027989E-3</v>
      </c>
      <c r="F597" s="21" t="s">
        <v>610</v>
      </c>
      <c r="G597" s="22">
        <v>19393.599999999999</v>
      </c>
      <c r="H597">
        <f t="shared" si="19"/>
        <v>4.3215614586109936E-3</v>
      </c>
    </row>
    <row r="598" spans="1:8" x14ac:dyDescent="0.45">
      <c r="A598" s="21" t="s">
        <v>609</v>
      </c>
      <c r="B598" s="22">
        <v>943.3</v>
      </c>
      <c r="D598">
        <f t="shared" si="18"/>
        <v>1.4331970911406222E-3</v>
      </c>
      <c r="F598" s="21" t="s">
        <v>611</v>
      </c>
      <c r="G598" s="22">
        <v>19396.45</v>
      </c>
      <c r="H598">
        <f t="shared" si="19"/>
        <v>1.4695569672480525E-4</v>
      </c>
    </row>
    <row r="599" spans="1:8" x14ac:dyDescent="0.45">
      <c r="A599" s="21" t="s">
        <v>610</v>
      </c>
      <c r="B599" s="22">
        <v>984.45</v>
      </c>
      <c r="D599">
        <f t="shared" si="18"/>
        <v>4.3623449591858467E-2</v>
      </c>
      <c r="F599" s="21" t="s">
        <v>612</v>
      </c>
      <c r="G599" s="22">
        <v>19444</v>
      </c>
      <c r="H599">
        <f t="shared" si="19"/>
        <v>2.4514795233147959E-3</v>
      </c>
    </row>
    <row r="600" spans="1:8" x14ac:dyDescent="0.45">
      <c r="A600" s="21" t="s">
        <v>611</v>
      </c>
      <c r="B600" s="22">
        <v>1005.25</v>
      </c>
      <c r="D600">
        <f t="shared" si="18"/>
        <v>2.112854893595404E-2</v>
      </c>
      <c r="F600" s="21" t="s">
        <v>613</v>
      </c>
      <c r="G600" s="22">
        <v>19386.7</v>
      </c>
      <c r="H600">
        <f t="shared" si="19"/>
        <v>-2.9469245011314168E-3</v>
      </c>
    </row>
    <row r="601" spans="1:8" x14ac:dyDescent="0.45">
      <c r="A601" s="21" t="s">
        <v>612</v>
      </c>
      <c r="B601" s="22">
        <v>1015</v>
      </c>
      <c r="D601">
        <f t="shared" si="18"/>
        <v>9.6990798308878388E-3</v>
      </c>
      <c r="F601" s="21" t="s">
        <v>614</v>
      </c>
      <c r="G601" s="22">
        <v>19265.8</v>
      </c>
      <c r="H601">
        <f t="shared" si="19"/>
        <v>-6.2362341192674078E-3</v>
      </c>
    </row>
    <row r="602" spans="1:8" x14ac:dyDescent="0.45">
      <c r="A602" s="21" t="s">
        <v>613</v>
      </c>
      <c r="B602" s="22">
        <v>1004.85</v>
      </c>
      <c r="D602">
        <f t="shared" si="18"/>
        <v>-9.9999999999999777E-3</v>
      </c>
      <c r="F602" s="21" t="s">
        <v>615</v>
      </c>
      <c r="G602" s="22">
        <v>19306.05</v>
      </c>
      <c r="H602">
        <f t="shared" si="19"/>
        <v>2.0891943236200938E-3</v>
      </c>
    </row>
    <row r="603" spans="1:8" x14ac:dyDescent="0.45">
      <c r="A603" s="21" t="s">
        <v>614</v>
      </c>
      <c r="B603" s="22">
        <v>1014.85</v>
      </c>
      <c r="D603">
        <f t="shared" si="18"/>
        <v>9.9517340896651246E-3</v>
      </c>
      <c r="F603" s="21" t="s">
        <v>616</v>
      </c>
      <c r="G603" s="22">
        <v>19342.650000000001</v>
      </c>
      <c r="H603">
        <f t="shared" si="19"/>
        <v>1.8957787843708156E-3</v>
      </c>
    </row>
    <row r="604" spans="1:8" x14ac:dyDescent="0.45">
      <c r="A604" s="21" t="s">
        <v>615</v>
      </c>
      <c r="B604" s="22">
        <v>1005.45</v>
      </c>
      <c r="D604">
        <f t="shared" si="18"/>
        <v>-9.2624525791988738E-3</v>
      </c>
      <c r="F604" s="21" t="s">
        <v>617</v>
      </c>
      <c r="G604" s="22">
        <v>19347.45</v>
      </c>
      <c r="H604">
        <f t="shared" si="19"/>
        <v>2.4815627641503477E-4</v>
      </c>
    </row>
    <row r="605" spans="1:8" x14ac:dyDescent="0.45">
      <c r="A605" s="21" t="s">
        <v>616</v>
      </c>
      <c r="B605" s="22">
        <v>1004.6</v>
      </c>
      <c r="D605">
        <f t="shared" si="18"/>
        <v>-8.4539261027402927E-4</v>
      </c>
      <c r="F605" s="21" t="s">
        <v>618</v>
      </c>
      <c r="G605" s="22">
        <v>19253.8</v>
      </c>
      <c r="H605">
        <f t="shared" si="19"/>
        <v>-4.8404311679317667E-3</v>
      </c>
    </row>
    <row r="606" spans="1:8" x14ac:dyDescent="0.45">
      <c r="A606" s="21" t="s">
        <v>617</v>
      </c>
      <c r="B606" s="22">
        <v>1010.8</v>
      </c>
      <c r="D606">
        <f t="shared" si="18"/>
        <v>6.1716105912800433E-3</v>
      </c>
      <c r="F606" s="23">
        <v>44935</v>
      </c>
      <c r="G606" s="22">
        <v>19435.3</v>
      </c>
      <c r="H606">
        <f t="shared" si="19"/>
        <v>9.4267105714196681E-3</v>
      </c>
    </row>
    <row r="607" spans="1:8" x14ac:dyDescent="0.45">
      <c r="A607" s="21" t="s">
        <v>618</v>
      </c>
      <c r="B607" s="22">
        <v>1004.95</v>
      </c>
      <c r="D607">
        <f t="shared" si="18"/>
        <v>-5.7874950534229416E-3</v>
      </c>
      <c r="F607" s="23">
        <v>45025</v>
      </c>
      <c r="G607" s="22">
        <v>19528.8</v>
      </c>
      <c r="H607">
        <f t="shared" si="19"/>
        <v>4.8108338950260607E-3</v>
      </c>
    </row>
    <row r="608" spans="1:8" x14ac:dyDescent="0.45">
      <c r="A608" s="23">
        <v>44935</v>
      </c>
      <c r="B608" s="22">
        <v>1005.15</v>
      </c>
      <c r="D608">
        <f t="shared" si="18"/>
        <v>1.9901487636194017E-4</v>
      </c>
      <c r="F608" s="23">
        <v>45055</v>
      </c>
      <c r="G608" s="22">
        <v>19574.900000000001</v>
      </c>
      <c r="H608">
        <f t="shared" si="19"/>
        <v>2.3606161156856636E-3</v>
      </c>
    </row>
    <row r="609" spans="1:8" x14ac:dyDescent="0.45">
      <c r="A609" s="23">
        <v>45025</v>
      </c>
      <c r="B609" s="22">
        <v>1000.5</v>
      </c>
      <c r="D609">
        <f t="shared" si="18"/>
        <v>-4.6261751977316589E-3</v>
      </c>
      <c r="F609" s="23">
        <v>45086</v>
      </c>
      <c r="G609" s="22">
        <v>19611.05</v>
      </c>
      <c r="H609">
        <f t="shared" si="19"/>
        <v>1.8467527292603187E-3</v>
      </c>
    </row>
    <row r="610" spans="1:8" x14ac:dyDescent="0.45">
      <c r="A610" s="23">
        <v>45055</v>
      </c>
      <c r="B610" s="22">
        <v>1000.7</v>
      </c>
      <c r="D610">
        <f t="shared" si="18"/>
        <v>1.9990004997505795E-4</v>
      </c>
      <c r="F610" s="23">
        <v>45116</v>
      </c>
      <c r="G610" s="22">
        <v>19727.05</v>
      </c>
      <c r="H610">
        <f t="shared" si="19"/>
        <v>5.9150325964188559E-3</v>
      </c>
    </row>
    <row r="611" spans="1:8" x14ac:dyDescent="0.45">
      <c r="A611" s="23">
        <v>45086</v>
      </c>
      <c r="B611" s="22">
        <v>999.7</v>
      </c>
      <c r="D611">
        <f t="shared" si="18"/>
        <v>-9.9930048965723994E-4</v>
      </c>
      <c r="F611" s="23">
        <v>45147</v>
      </c>
      <c r="G611" s="22">
        <v>19819.95</v>
      </c>
      <c r="H611">
        <f t="shared" si="19"/>
        <v>4.709269759036524E-3</v>
      </c>
    </row>
    <row r="612" spans="1:8" x14ac:dyDescent="0.45">
      <c r="A612" s="23">
        <v>45116</v>
      </c>
      <c r="B612" s="22">
        <v>996.55</v>
      </c>
      <c r="D612">
        <f t="shared" si="18"/>
        <v>-3.1509452835851662E-3</v>
      </c>
      <c r="F612" s="23">
        <v>45239</v>
      </c>
      <c r="G612" s="22">
        <v>19996.349999999999</v>
      </c>
      <c r="H612">
        <f t="shared" si="19"/>
        <v>8.9001233605532706E-3</v>
      </c>
    </row>
    <row r="613" spans="1:8" x14ac:dyDescent="0.45">
      <c r="A613" s="23">
        <v>45147</v>
      </c>
      <c r="B613" s="22">
        <v>984.3</v>
      </c>
      <c r="D613">
        <f t="shared" si="18"/>
        <v>-1.2292408810395866E-2</v>
      </c>
      <c r="F613" s="23">
        <v>45269</v>
      </c>
      <c r="G613" s="22">
        <v>19993.2</v>
      </c>
      <c r="H613">
        <f t="shared" si="19"/>
        <v>-1.5752874899658276E-4</v>
      </c>
    </row>
    <row r="614" spans="1:8" x14ac:dyDescent="0.45">
      <c r="A614" s="23">
        <v>45239</v>
      </c>
      <c r="B614" s="22">
        <v>981.75</v>
      </c>
      <c r="D614">
        <f t="shared" si="18"/>
        <v>-2.5906735751294878E-3</v>
      </c>
      <c r="F614" s="21" t="s">
        <v>619</v>
      </c>
      <c r="G614" s="22">
        <v>20070</v>
      </c>
      <c r="H614">
        <f t="shared" si="19"/>
        <v>3.841306044054942E-3</v>
      </c>
    </row>
    <row r="615" spans="1:8" x14ac:dyDescent="0.45">
      <c r="A615" s="23">
        <v>45269</v>
      </c>
      <c r="B615" s="22">
        <v>969.75</v>
      </c>
      <c r="D615">
        <f t="shared" si="18"/>
        <v>-1.2223071046600458E-2</v>
      </c>
      <c r="F615" s="21" t="s">
        <v>620</v>
      </c>
      <c r="G615" s="22">
        <v>20103.099999999999</v>
      </c>
      <c r="H615">
        <f t="shared" si="19"/>
        <v>1.6492277030392898E-3</v>
      </c>
    </row>
    <row r="616" spans="1:8" x14ac:dyDescent="0.45">
      <c r="A616" s="21" t="s">
        <v>619</v>
      </c>
      <c r="B616" s="22">
        <v>960.35</v>
      </c>
      <c r="D616">
        <f t="shared" si="18"/>
        <v>-9.6932199020365838E-3</v>
      </c>
      <c r="F616" s="21" t="s">
        <v>621</v>
      </c>
      <c r="G616" s="22">
        <v>20192.349999999999</v>
      </c>
      <c r="H616">
        <f t="shared" si="19"/>
        <v>4.4396137909078707E-3</v>
      </c>
    </row>
    <row r="617" spans="1:8" x14ac:dyDescent="0.45">
      <c r="A617" s="21" t="s">
        <v>620</v>
      </c>
      <c r="B617" s="22">
        <v>959</v>
      </c>
      <c r="D617">
        <f t="shared" si="18"/>
        <v>-1.4057374915395664E-3</v>
      </c>
      <c r="F617" s="21" t="s">
        <v>622</v>
      </c>
      <c r="G617" s="22">
        <v>20133.3</v>
      </c>
      <c r="H617">
        <f t="shared" si="19"/>
        <v>-2.9243748251193782E-3</v>
      </c>
    </row>
    <row r="618" spans="1:8" x14ac:dyDescent="0.45">
      <c r="A618" s="21" t="s">
        <v>621</v>
      </c>
      <c r="B618" s="22">
        <v>940.4</v>
      </c>
      <c r="D618">
        <f t="shared" si="18"/>
        <v>-1.9395203336809198E-2</v>
      </c>
      <c r="F618" s="21" t="s">
        <v>623</v>
      </c>
      <c r="G618" s="22">
        <v>19901.400000000001</v>
      </c>
      <c r="H618">
        <f t="shared" si="19"/>
        <v>-1.1518230990448552E-2</v>
      </c>
    </row>
    <row r="619" spans="1:8" x14ac:dyDescent="0.45">
      <c r="A619" s="21" t="s">
        <v>622</v>
      </c>
      <c r="B619" s="22">
        <v>939.5</v>
      </c>
      <c r="D619">
        <f t="shared" si="18"/>
        <v>-9.5703955763502477E-4</v>
      </c>
      <c r="F619" s="21" t="s">
        <v>624</v>
      </c>
      <c r="G619" s="22">
        <v>19742.349999999999</v>
      </c>
      <c r="H619">
        <f t="shared" si="19"/>
        <v>-7.9919000673320927E-3</v>
      </c>
    </row>
    <row r="620" spans="1:8" x14ac:dyDescent="0.45">
      <c r="A620" s="21" t="s">
        <v>623</v>
      </c>
      <c r="B620" s="22">
        <v>924.7</v>
      </c>
      <c r="D620">
        <f t="shared" si="18"/>
        <v>-1.5753060138371425E-2</v>
      </c>
      <c r="F620" s="21" t="s">
        <v>625</v>
      </c>
      <c r="G620" s="22">
        <v>19674.25</v>
      </c>
      <c r="H620">
        <f t="shared" si="19"/>
        <v>-3.449437377009249E-3</v>
      </c>
    </row>
    <row r="621" spans="1:8" x14ac:dyDescent="0.45">
      <c r="A621" s="21" t="s">
        <v>624</v>
      </c>
      <c r="B621" s="22">
        <v>877.85</v>
      </c>
      <c r="D621">
        <f t="shared" si="18"/>
        <v>-5.0665080566670295E-2</v>
      </c>
      <c r="F621" s="21" t="s">
        <v>626</v>
      </c>
      <c r="G621" s="22">
        <v>19674.55</v>
      </c>
      <c r="H621">
        <f t="shared" si="19"/>
        <v>1.5248357624777179E-5</v>
      </c>
    </row>
    <row r="622" spans="1:8" x14ac:dyDescent="0.45">
      <c r="A622" s="21" t="s">
        <v>625</v>
      </c>
      <c r="B622" s="22">
        <v>878.95</v>
      </c>
      <c r="D622">
        <f t="shared" si="18"/>
        <v>1.2530614569687562E-3</v>
      </c>
      <c r="F622" s="21" t="s">
        <v>627</v>
      </c>
      <c r="G622" s="22">
        <v>19664.7</v>
      </c>
      <c r="H622">
        <f t="shared" si="19"/>
        <v>-5.0064677464026089E-4</v>
      </c>
    </row>
    <row r="623" spans="1:8" x14ac:dyDescent="0.45">
      <c r="A623" s="21" t="s">
        <v>626</v>
      </c>
      <c r="B623" s="22">
        <v>882.85</v>
      </c>
      <c r="D623">
        <f t="shared" si="18"/>
        <v>4.4371124637351128E-3</v>
      </c>
      <c r="F623" s="21" t="s">
        <v>628</v>
      </c>
      <c r="G623" s="22">
        <v>19716.45</v>
      </c>
      <c r="H623">
        <f t="shared" si="19"/>
        <v>2.6316190941128009E-3</v>
      </c>
    </row>
    <row r="624" spans="1:8" x14ac:dyDescent="0.45">
      <c r="A624" s="21" t="s">
        <v>627</v>
      </c>
      <c r="B624" s="22">
        <v>882.6</v>
      </c>
      <c r="D624">
        <f t="shared" si="18"/>
        <v>-2.8317381208585831E-4</v>
      </c>
      <c r="F624" s="21" t="s">
        <v>629</v>
      </c>
      <c r="G624" s="22">
        <v>19523.55</v>
      </c>
      <c r="H624">
        <f t="shared" si="19"/>
        <v>-9.7837085276508418E-3</v>
      </c>
    </row>
    <row r="625" spans="1:8" x14ac:dyDescent="0.45">
      <c r="A625" s="21" t="s">
        <v>628</v>
      </c>
      <c r="B625" s="22">
        <v>896.8</v>
      </c>
      <c r="D625">
        <f t="shared" si="18"/>
        <v>1.6088828461364075E-2</v>
      </c>
      <c r="F625" s="21" t="s">
        <v>630</v>
      </c>
      <c r="G625" s="22">
        <v>19638.3</v>
      </c>
      <c r="H625">
        <f t="shared" si="19"/>
        <v>5.8775171523621477E-3</v>
      </c>
    </row>
    <row r="626" spans="1:8" x14ac:dyDescent="0.45">
      <c r="A626" s="21" t="s">
        <v>629</v>
      </c>
      <c r="B626" s="22">
        <v>880.1</v>
      </c>
      <c r="D626">
        <f t="shared" si="18"/>
        <v>-1.8621766280106974E-2</v>
      </c>
      <c r="F626" s="23">
        <v>44995</v>
      </c>
      <c r="G626" s="22">
        <v>19528.75</v>
      </c>
      <c r="H626">
        <f t="shared" si="19"/>
        <v>-5.578385094432781E-3</v>
      </c>
    </row>
    <row r="627" spans="1:8" x14ac:dyDescent="0.45">
      <c r="A627" s="21" t="s">
        <v>630</v>
      </c>
      <c r="B627" s="22">
        <v>884.85</v>
      </c>
      <c r="D627">
        <f t="shared" si="18"/>
        <v>5.397113964322236E-3</v>
      </c>
      <c r="F627" s="23">
        <v>45026</v>
      </c>
      <c r="G627" s="22">
        <v>19436.099999999999</v>
      </c>
      <c r="H627">
        <f t="shared" si="19"/>
        <v>-4.744287268770477E-3</v>
      </c>
    </row>
    <row r="628" spans="1:8" x14ac:dyDescent="0.45">
      <c r="A628" s="23">
        <v>44995</v>
      </c>
      <c r="B628" s="22">
        <v>879.2</v>
      </c>
      <c r="D628">
        <f t="shared" si="18"/>
        <v>-6.3852630389331271E-3</v>
      </c>
      <c r="F628" s="23">
        <v>45056</v>
      </c>
      <c r="G628" s="22">
        <v>19545.75</v>
      </c>
      <c r="H628">
        <f t="shared" si="19"/>
        <v>5.6415638939911542E-3</v>
      </c>
    </row>
    <row r="629" spans="1:8" x14ac:dyDescent="0.45">
      <c r="A629" s="23">
        <v>45026</v>
      </c>
      <c r="B629" s="22">
        <v>887.5</v>
      </c>
      <c r="D629">
        <f t="shared" si="18"/>
        <v>9.4404003639671913E-3</v>
      </c>
      <c r="F629" s="23">
        <v>45087</v>
      </c>
      <c r="G629" s="22">
        <v>19653.5</v>
      </c>
      <c r="H629">
        <f t="shared" si="19"/>
        <v>5.512707366051443E-3</v>
      </c>
    </row>
    <row r="630" spans="1:8" x14ac:dyDescent="0.45">
      <c r="A630" s="23">
        <v>45056</v>
      </c>
      <c r="B630" s="22">
        <v>898.65</v>
      </c>
      <c r="D630">
        <f t="shared" si="18"/>
        <v>1.2563380281690115E-2</v>
      </c>
      <c r="F630" s="23">
        <v>45179</v>
      </c>
      <c r="G630" s="22">
        <v>19512.349999999999</v>
      </c>
      <c r="H630">
        <f t="shared" si="19"/>
        <v>-7.1819268832524208E-3</v>
      </c>
    </row>
    <row r="631" spans="1:8" x14ac:dyDescent="0.45">
      <c r="A631" s="23">
        <v>45087</v>
      </c>
      <c r="B631" s="22">
        <v>891.05</v>
      </c>
      <c r="D631">
        <f t="shared" si="18"/>
        <v>-8.4571301396539501E-3</v>
      </c>
      <c r="F631" s="23">
        <v>45209</v>
      </c>
      <c r="G631" s="22">
        <v>19689.849999999999</v>
      </c>
      <c r="H631">
        <f t="shared" si="19"/>
        <v>9.0968027941278218E-3</v>
      </c>
    </row>
    <row r="632" spans="1:8" x14ac:dyDescent="0.45">
      <c r="A632" s="23">
        <v>45179</v>
      </c>
      <c r="B632" s="22">
        <v>882.6</v>
      </c>
      <c r="D632">
        <f t="shared" si="18"/>
        <v>-9.4831939846248044E-3</v>
      </c>
      <c r="F632" s="23">
        <v>45240</v>
      </c>
      <c r="G632" s="22">
        <v>19811.349999999999</v>
      </c>
      <c r="H632">
        <f t="shared" si="19"/>
        <v>6.1706920062875037E-3</v>
      </c>
    </row>
    <row r="633" spans="1:8" x14ac:dyDescent="0.45">
      <c r="A633" s="23">
        <v>45209</v>
      </c>
      <c r="B633" s="22">
        <v>878.45</v>
      </c>
      <c r="D633">
        <f t="shared" si="18"/>
        <v>-4.7020167686380888E-3</v>
      </c>
      <c r="F633" s="23">
        <v>45270</v>
      </c>
      <c r="G633" s="22">
        <v>19794</v>
      </c>
      <c r="H633">
        <f t="shared" si="19"/>
        <v>-8.7576061197235653E-4</v>
      </c>
    </row>
    <row r="634" spans="1:8" x14ac:dyDescent="0.45">
      <c r="A634" s="23">
        <v>45240</v>
      </c>
      <c r="B634" s="22">
        <v>883.25</v>
      </c>
      <c r="D634">
        <f t="shared" si="18"/>
        <v>5.4641698446126182E-3</v>
      </c>
      <c r="F634" s="21" t="s">
        <v>631</v>
      </c>
      <c r="G634" s="22">
        <v>19751.05</v>
      </c>
      <c r="H634">
        <f t="shared" si="19"/>
        <v>-2.1698494493281161E-3</v>
      </c>
    </row>
    <row r="635" spans="1:8" x14ac:dyDescent="0.45">
      <c r="A635" s="23">
        <v>45270</v>
      </c>
      <c r="B635" s="22">
        <v>880.9</v>
      </c>
      <c r="D635">
        <f t="shared" si="18"/>
        <v>-2.6606283611661733E-3</v>
      </c>
      <c r="F635" s="21" t="s">
        <v>632</v>
      </c>
      <c r="G635" s="22">
        <v>19731.75</v>
      </c>
      <c r="H635">
        <f t="shared" si="19"/>
        <v>-9.7716323942267751E-4</v>
      </c>
    </row>
    <row r="636" spans="1:8" x14ac:dyDescent="0.45">
      <c r="A636" s="21" t="s">
        <v>631</v>
      </c>
      <c r="B636" s="22">
        <v>884.15</v>
      </c>
      <c r="D636">
        <f t="shared" si="18"/>
        <v>3.6894085594278581E-3</v>
      </c>
      <c r="F636" s="21" t="s">
        <v>633</v>
      </c>
      <c r="G636" s="22">
        <v>19811.5</v>
      </c>
      <c r="H636">
        <f t="shared" si="19"/>
        <v>4.0417094276990126E-3</v>
      </c>
    </row>
    <row r="637" spans="1:8" x14ac:dyDescent="0.45">
      <c r="A637" s="21" t="s">
        <v>632</v>
      </c>
      <c r="B637" s="22">
        <v>881.55</v>
      </c>
      <c r="D637">
        <f t="shared" si="18"/>
        <v>-2.9406774868518041E-3</v>
      </c>
      <c r="F637" s="21" t="s">
        <v>634</v>
      </c>
      <c r="G637" s="22">
        <v>19671.099999999999</v>
      </c>
      <c r="H637">
        <f t="shared" si="19"/>
        <v>-7.0867930242536634E-3</v>
      </c>
    </row>
    <row r="638" spans="1:8" x14ac:dyDescent="0.45">
      <c r="A638" s="21" t="s">
        <v>633</v>
      </c>
      <c r="B638" s="22">
        <v>850.1</v>
      </c>
      <c r="D638">
        <f t="shared" si="18"/>
        <v>-3.567579830979517E-2</v>
      </c>
      <c r="F638" s="21" t="s">
        <v>635</v>
      </c>
      <c r="G638" s="22">
        <v>19624.7</v>
      </c>
      <c r="H638">
        <f t="shared" si="19"/>
        <v>-2.3587903065917931E-3</v>
      </c>
    </row>
    <row r="639" spans="1:8" x14ac:dyDescent="0.45">
      <c r="A639" s="21" t="s">
        <v>634</v>
      </c>
      <c r="B639" s="22">
        <v>851.3</v>
      </c>
      <c r="D639">
        <f t="shared" si="18"/>
        <v>1.411598635454572E-3</v>
      </c>
      <c r="F639" s="21" t="s">
        <v>636</v>
      </c>
      <c r="G639" s="22">
        <v>19542.650000000001</v>
      </c>
      <c r="H639">
        <f t="shared" si="19"/>
        <v>-4.1809556324427519E-3</v>
      </c>
    </row>
    <row r="640" spans="1:8" x14ac:dyDescent="0.45">
      <c r="A640" s="21" t="s">
        <v>635</v>
      </c>
      <c r="B640" s="22">
        <v>849.5</v>
      </c>
      <c r="D640">
        <f t="shared" si="18"/>
        <v>-2.1144132503229818E-3</v>
      </c>
      <c r="F640" s="21" t="s">
        <v>637</v>
      </c>
      <c r="G640" s="22">
        <v>19281.75</v>
      </c>
      <c r="H640">
        <f t="shared" si="19"/>
        <v>-1.335028770407296E-2</v>
      </c>
    </row>
    <row r="641" spans="1:8" x14ac:dyDescent="0.45">
      <c r="A641" s="21" t="s">
        <v>636</v>
      </c>
      <c r="B641" s="22">
        <v>851.25</v>
      </c>
      <c r="D641">
        <f t="shared" si="18"/>
        <v>2.0600353148911123E-3</v>
      </c>
      <c r="F641" s="21" t="s">
        <v>638</v>
      </c>
      <c r="G641" s="22">
        <v>19122.150000000001</v>
      </c>
      <c r="H641">
        <f t="shared" si="19"/>
        <v>-8.2772569917148875E-3</v>
      </c>
    </row>
    <row r="642" spans="1:8" x14ac:dyDescent="0.45">
      <c r="A642" s="21" t="s">
        <v>637</v>
      </c>
      <c r="B642" s="22">
        <v>849.15</v>
      </c>
      <c r="D642">
        <f t="shared" si="18"/>
        <v>-2.4669603524229344E-3</v>
      </c>
      <c r="F642" s="21" t="s">
        <v>639</v>
      </c>
      <c r="G642" s="22">
        <v>18857.25</v>
      </c>
      <c r="H642">
        <f t="shared" si="19"/>
        <v>-1.3853044767455618E-2</v>
      </c>
    </row>
    <row r="643" spans="1:8" x14ac:dyDescent="0.45">
      <c r="A643" s="21" t="s">
        <v>638</v>
      </c>
      <c r="B643" s="22">
        <v>851.35</v>
      </c>
      <c r="D643">
        <f t="shared" si="18"/>
        <v>2.5908261202379386E-3</v>
      </c>
      <c r="F643" s="21" t="s">
        <v>640</v>
      </c>
      <c r="G643" s="22">
        <v>19047.25</v>
      </c>
      <c r="H643">
        <f t="shared" si="19"/>
        <v>1.007570032746026E-2</v>
      </c>
    </row>
    <row r="644" spans="1:8" x14ac:dyDescent="0.45">
      <c r="A644" s="21" t="s">
        <v>639</v>
      </c>
      <c r="B644" s="22">
        <v>842</v>
      </c>
      <c r="D644">
        <f t="shared" ref="D644:D707" si="20">(B644-B643)/B643</f>
        <v>-1.0982557115170051E-2</v>
      </c>
      <c r="F644" s="21" t="s">
        <v>641</v>
      </c>
      <c r="G644" s="22">
        <v>19140.900000000001</v>
      </c>
      <c r="H644">
        <f t="shared" si="19"/>
        <v>4.9167202614551417E-3</v>
      </c>
    </row>
    <row r="645" spans="1:8" x14ac:dyDescent="0.45">
      <c r="A645" s="21" t="s">
        <v>640</v>
      </c>
      <c r="B645" s="22">
        <v>851.8</v>
      </c>
      <c r="D645">
        <f t="shared" si="20"/>
        <v>1.1638954869358616E-2</v>
      </c>
      <c r="F645" s="21" t="s">
        <v>642</v>
      </c>
      <c r="G645" s="22">
        <v>19079.599999999999</v>
      </c>
      <c r="H645">
        <f t="shared" ref="H645:H708" si="21">(G645-G644)/G644</f>
        <v>-3.2025662325179541E-3</v>
      </c>
    </row>
    <row r="646" spans="1:8" x14ac:dyDescent="0.45">
      <c r="A646" s="21" t="s">
        <v>641</v>
      </c>
      <c r="B646" s="22">
        <v>878.35</v>
      </c>
      <c r="D646">
        <f t="shared" si="20"/>
        <v>3.1169288565391019E-2</v>
      </c>
      <c r="F646" s="23">
        <v>44937</v>
      </c>
      <c r="G646" s="22">
        <v>18989.150000000001</v>
      </c>
      <c r="H646">
        <f t="shared" si="21"/>
        <v>-4.7406654227550417E-3</v>
      </c>
    </row>
    <row r="647" spans="1:8" x14ac:dyDescent="0.45">
      <c r="A647" s="21" t="s">
        <v>642</v>
      </c>
      <c r="B647" s="22">
        <v>883.55</v>
      </c>
      <c r="D647">
        <f t="shared" si="20"/>
        <v>5.9201912677178019E-3</v>
      </c>
      <c r="F647" s="23">
        <v>44968</v>
      </c>
      <c r="G647" s="22">
        <v>19133.25</v>
      </c>
      <c r="H647">
        <f t="shared" si="21"/>
        <v>7.5885439843278151E-3</v>
      </c>
    </row>
    <row r="648" spans="1:8" x14ac:dyDescent="0.45">
      <c r="A648" s="23">
        <v>44937</v>
      </c>
      <c r="B648" s="22">
        <v>888.15</v>
      </c>
      <c r="D648">
        <f t="shared" si="20"/>
        <v>5.2062701601494231E-3</v>
      </c>
      <c r="F648" s="23">
        <v>44996</v>
      </c>
      <c r="G648" s="22">
        <v>19230.599999999999</v>
      </c>
      <c r="H648">
        <f t="shared" si="21"/>
        <v>5.0880012543607876E-3</v>
      </c>
    </row>
    <row r="649" spans="1:8" x14ac:dyDescent="0.45">
      <c r="A649" s="23">
        <v>44968</v>
      </c>
      <c r="B649" s="22">
        <v>906.95</v>
      </c>
      <c r="D649">
        <f t="shared" si="20"/>
        <v>2.1167595563812498E-2</v>
      </c>
      <c r="F649" s="23">
        <v>45088</v>
      </c>
      <c r="G649" s="22">
        <v>19411.75</v>
      </c>
      <c r="H649">
        <f t="shared" si="21"/>
        <v>9.4198828949695525E-3</v>
      </c>
    </row>
    <row r="650" spans="1:8" x14ac:dyDescent="0.45">
      <c r="A650" s="23">
        <v>44996</v>
      </c>
      <c r="B650" s="22">
        <v>905.95</v>
      </c>
      <c r="D650">
        <f t="shared" si="20"/>
        <v>-1.1025966150283919E-3</v>
      </c>
      <c r="F650" s="23">
        <v>45118</v>
      </c>
      <c r="G650" s="22">
        <v>19406.7</v>
      </c>
      <c r="H650">
        <f t="shared" si="21"/>
        <v>-2.6015171223610817E-4</v>
      </c>
    </row>
    <row r="651" spans="1:8" x14ac:dyDescent="0.45">
      <c r="A651" s="23">
        <v>45088</v>
      </c>
      <c r="B651" s="22">
        <v>906.7</v>
      </c>
      <c r="D651">
        <f t="shared" si="20"/>
        <v>8.2786025718858654E-4</v>
      </c>
      <c r="F651" s="23">
        <v>45149</v>
      </c>
      <c r="G651" s="22">
        <v>19443.5</v>
      </c>
      <c r="H651">
        <f t="shared" si="21"/>
        <v>1.8962523252278477E-3</v>
      </c>
    </row>
    <row r="652" spans="1:8" x14ac:dyDescent="0.45">
      <c r="A652" s="23">
        <v>45118</v>
      </c>
      <c r="B652" s="22">
        <v>922.65</v>
      </c>
      <c r="D652">
        <f t="shared" si="20"/>
        <v>1.7591265027020988E-2</v>
      </c>
      <c r="F652" s="23">
        <v>45180</v>
      </c>
      <c r="G652" s="22">
        <v>19395.3</v>
      </c>
      <c r="H652">
        <f t="shared" si="21"/>
        <v>-2.4789775503381967E-3</v>
      </c>
    </row>
    <row r="653" spans="1:8" x14ac:dyDescent="0.45">
      <c r="A653" s="23">
        <v>45149</v>
      </c>
      <c r="B653" s="22">
        <v>916.55</v>
      </c>
      <c r="D653">
        <f t="shared" si="20"/>
        <v>-6.6113911017179026E-3</v>
      </c>
      <c r="F653" s="23">
        <v>45210</v>
      </c>
      <c r="G653" s="22">
        <v>19425.349999999999</v>
      </c>
      <c r="H653">
        <f t="shared" si="21"/>
        <v>1.5493444288048792E-3</v>
      </c>
    </row>
    <row r="654" spans="1:8" x14ac:dyDescent="0.45">
      <c r="A654" s="23">
        <v>45180</v>
      </c>
      <c r="B654" s="22">
        <v>905.1</v>
      </c>
      <c r="D654">
        <f t="shared" si="20"/>
        <v>-1.2492499045332969E-2</v>
      </c>
      <c r="F654" s="23">
        <v>45271</v>
      </c>
      <c r="G654" s="22">
        <v>19525.55</v>
      </c>
      <c r="H654">
        <f t="shared" si="21"/>
        <v>5.1582082176125903E-3</v>
      </c>
    </row>
    <row r="655" spans="1:8" x14ac:dyDescent="0.45">
      <c r="A655" s="23">
        <v>45210</v>
      </c>
      <c r="B655" s="22">
        <v>906.3</v>
      </c>
      <c r="D655">
        <f t="shared" si="20"/>
        <v>1.3258203513423178E-3</v>
      </c>
      <c r="F655" s="21" t="s">
        <v>643</v>
      </c>
      <c r="G655" s="22">
        <v>19443.55</v>
      </c>
      <c r="H655">
        <f t="shared" si="21"/>
        <v>-4.1996256187405738E-3</v>
      </c>
    </row>
    <row r="656" spans="1:8" x14ac:dyDescent="0.45">
      <c r="A656" s="23">
        <v>45271</v>
      </c>
      <c r="B656" s="22">
        <v>924.6</v>
      </c>
      <c r="D656">
        <f t="shared" si="20"/>
        <v>2.0191989407481042E-2</v>
      </c>
      <c r="F656" s="21" t="s">
        <v>644</v>
      </c>
      <c r="G656" s="22">
        <v>19675.45</v>
      </c>
      <c r="H656">
        <f t="shared" si="21"/>
        <v>1.1926834348665828E-2</v>
      </c>
    </row>
    <row r="657" spans="1:8" x14ac:dyDescent="0.45">
      <c r="A657" s="21" t="s">
        <v>643</v>
      </c>
      <c r="B657" s="22">
        <v>918.7</v>
      </c>
      <c r="D657">
        <f t="shared" si="20"/>
        <v>-6.3811377893142731E-3</v>
      </c>
      <c r="F657" s="21" t="s">
        <v>645</v>
      </c>
      <c r="G657" s="22">
        <v>19765.2</v>
      </c>
      <c r="H657">
        <f t="shared" si="21"/>
        <v>4.5615220998757337E-3</v>
      </c>
    </row>
    <row r="658" spans="1:8" x14ac:dyDescent="0.45">
      <c r="A658" s="21" t="s">
        <v>644</v>
      </c>
      <c r="B658" s="22">
        <v>924.1</v>
      </c>
      <c r="D658">
        <f t="shared" si="20"/>
        <v>5.8778709045389978E-3</v>
      </c>
      <c r="F658" s="21" t="s">
        <v>646</v>
      </c>
      <c r="G658" s="22">
        <v>19731.8</v>
      </c>
      <c r="H658">
        <f t="shared" si="21"/>
        <v>-1.6898387064133657E-3</v>
      </c>
    </row>
    <row r="659" spans="1:8" x14ac:dyDescent="0.45">
      <c r="A659" s="21" t="s">
        <v>645</v>
      </c>
      <c r="B659" s="22">
        <v>932.4</v>
      </c>
      <c r="D659">
        <f t="shared" si="20"/>
        <v>8.9817119359376189E-3</v>
      </c>
      <c r="F659" s="21" t="s">
        <v>647</v>
      </c>
      <c r="G659" s="22">
        <v>19694</v>
      </c>
      <c r="H659">
        <f t="shared" si="21"/>
        <v>-1.9156893947840173E-3</v>
      </c>
    </row>
    <row r="660" spans="1:8" x14ac:dyDescent="0.45">
      <c r="A660" s="21" t="s">
        <v>646</v>
      </c>
      <c r="B660" s="22">
        <v>931.6</v>
      </c>
      <c r="D660">
        <f t="shared" si="20"/>
        <v>-8.5800085800080922E-4</v>
      </c>
      <c r="F660" s="21" t="s">
        <v>648</v>
      </c>
      <c r="G660" s="22">
        <v>19783.400000000001</v>
      </c>
      <c r="H660">
        <f t="shared" si="21"/>
        <v>4.5394536407028256E-3</v>
      </c>
    </row>
    <row r="661" spans="1:8" x14ac:dyDescent="0.45">
      <c r="A661" s="21" t="s">
        <v>647</v>
      </c>
      <c r="B661" s="22">
        <v>932.25</v>
      </c>
      <c r="D661">
        <f t="shared" si="20"/>
        <v>6.9772434521251313E-4</v>
      </c>
      <c r="F661" s="21" t="s">
        <v>649</v>
      </c>
      <c r="G661" s="22">
        <v>19811.849999999999</v>
      </c>
      <c r="H661">
        <f t="shared" si="21"/>
        <v>1.4380743451579145E-3</v>
      </c>
    </row>
    <row r="662" spans="1:8" x14ac:dyDescent="0.45">
      <c r="A662" s="21" t="s">
        <v>648</v>
      </c>
      <c r="B662" s="22">
        <v>935.8</v>
      </c>
      <c r="D662">
        <f t="shared" si="20"/>
        <v>3.8079914186108389E-3</v>
      </c>
      <c r="F662" s="21" t="s">
        <v>650</v>
      </c>
      <c r="G662" s="22">
        <v>19802</v>
      </c>
      <c r="H662">
        <f t="shared" si="21"/>
        <v>-4.9717719445677947E-4</v>
      </c>
    </row>
    <row r="663" spans="1:8" x14ac:dyDescent="0.45">
      <c r="A663" s="21" t="s">
        <v>649</v>
      </c>
      <c r="B663" s="22">
        <v>938.25</v>
      </c>
      <c r="D663">
        <f t="shared" si="20"/>
        <v>2.6180807864928891E-3</v>
      </c>
      <c r="F663" s="21" t="s">
        <v>651</v>
      </c>
      <c r="G663" s="22">
        <v>19794.7</v>
      </c>
      <c r="H663">
        <f t="shared" si="21"/>
        <v>-3.6864963135033191E-4</v>
      </c>
    </row>
    <row r="664" spans="1:8" x14ac:dyDescent="0.45">
      <c r="A664" s="21" t="s">
        <v>650</v>
      </c>
      <c r="B664" s="22">
        <v>943.2</v>
      </c>
      <c r="D664">
        <f t="shared" si="20"/>
        <v>5.275779376498849E-3</v>
      </c>
      <c r="F664" s="21" t="s">
        <v>652</v>
      </c>
      <c r="G664" s="22">
        <v>19889.7</v>
      </c>
      <c r="H664">
        <f t="shared" si="21"/>
        <v>4.7992644495748861E-3</v>
      </c>
    </row>
    <row r="665" spans="1:8" x14ac:dyDescent="0.45">
      <c r="A665" s="21" t="s">
        <v>651</v>
      </c>
      <c r="B665" s="22">
        <v>949.95</v>
      </c>
      <c r="D665">
        <f t="shared" si="20"/>
        <v>7.1564885496183204E-3</v>
      </c>
      <c r="F665" s="21" t="s">
        <v>653</v>
      </c>
      <c r="G665" s="22">
        <v>20096.599999999999</v>
      </c>
      <c r="H665">
        <f t="shared" si="21"/>
        <v>1.0402369065395546E-2</v>
      </c>
    </row>
    <row r="666" spans="1:8" x14ac:dyDescent="0.45">
      <c r="A666" s="21" t="s">
        <v>652</v>
      </c>
      <c r="B666" s="22">
        <v>955.5</v>
      </c>
      <c r="D666">
        <f t="shared" si="20"/>
        <v>5.8424127585661925E-3</v>
      </c>
      <c r="F666" s="21" t="s">
        <v>654</v>
      </c>
      <c r="G666" s="22">
        <v>20133.150000000001</v>
      </c>
      <c r="H666">
        <f t="shared" si="21"/>
        <v>1.8187156036345905E-3</v>
      </c>
    </row>
    <row r="667" spans="1:8" x14ac:dyDescent="0.45">
      <c r="A667" s="21" t="s">
        <v>653</v>
      </c>
      <c r="B667" s="22">
        <v>964.15</v>
      </c>
      <c r="D667">
        <f t="shared" si="20"/>
        <v>9.0528519099947434E-3</v>
      </c>
      <c r="F667" s="23">
        <v>44938</v>
      </c>
      <c r="G667" s="22">
        <v>20267.900000000001</v>
      </c>
      <c r="H667">
        <f t="shared" si="21"/>
        <v>6.6929417403635292E-3</v>
      </c>
    </row>
    <row r="668" spans="1:8" x14ac:dyDescent="0.45">
      <c r="A668" s="21" t="s">
        <v>654</v>
      </c>
      <c r="B668" s="22">
        <v>986.6</v>
      </c>
      <c r="D668">
        <f t="shared" si="20"/>
        <v>2.3284758595654251E-2</v>
      </c>
      <c r="F668" s="23">
        <v>45028</v>
      </c>
      <c r="G668" s="22">
        <v>20686.8</v>
      </c>
      <c r="H668">
        <f t="shared" si="21"/>
        <v>2.0668150129021644E-2</v>
      </c>
    </row>
    <row r="669" spans="1:8" x14ac:dyDescent="0.45">
      <c r="A669" s="23">
        <v>44938</v>
      </c>
      <c r="B669" s="22">
        <v>1013.8</v>
      </c>
      <c r="D669">
        <f t="shared" si="20"/>
        <v>2.7569430366916614E-2</v>
      </c>
      <c r="F669" s="23">
        <v>45058</v>
      </c>
      <c r="G669" s="22">
        <v>20855.099999999999</v>
      </c>
      <c r="H669">
        <f t="shared" si="21"/>
        <v>8.1356227159347649E-3</v>
      </c>
    </row>
    <row r="670" spans="1:8" x14ac:dyDescent="0.45">
      <c r="A670" s="23">
        <v>45028</v>
      </c>
      <c r="B670" s="22">
        <v>1047.75</v>
      </c>
      <c r="D670">
        <f t="shared" si="20"/>
        <v>3.3487867429473316E-2</v>
      </c>
      <c r="F670" s="23">
        <v>45089</v>
      </c>
      <c r="G670" s="22">
        <v>20937.7</v>
      </c>
      <c r="H670">
        <f t="shared" si="21"/>
        <v>3.9606619004465184E-3</v>
      </c>
    </row>
    <row r="671" spans="1:8" x14ac:dyDescent="0.45">
      <c r="A671" s="23">
        <v>45058</v>
      </c>
      <c r="B671" s="22">
        <v>1051.05</v>
      </c>
      <c r="D671">
        <f t="shared" si="20"/>
        <v>3.149606299212555E-3</v>
      </c>
      <c r="F671" s="23">
        <v>45119</v>
      </c>
      <c r="G671" s="22">
        <v>20901.150000000001</v>
      </c>
      <c r="H671">
        <f t="shared" si="21"/>
        <v>-1.7456549668778934E-3</v>
      </c>
    </row>
    <row r="672" spans="1:8" x14ac:dyDescent="0.45">
      <c r="A672" s="23">
        <v>45089</v>
      </c>
      <c r="B672" s="22">
        <v>1046.1500000000001</v>
      </c>
      <c r="D672">
        <f t="shared" si="20"/>
        <v>-4.6620046620045328E-3</v>
      </c>
      <c r="F672" s="23">
        <v>45150</v>
      </c>
      <c r="G672" s="22">
        <v>20969.400000000001</v>
      </c>
      <c r="H672">
        <f t="shared" si="21"/>
        <v>3.2653705657344212E-3</v>
      </c>
    </row>
    <row r="673" spans="1:8" x14ac:dyDescent="0.45">
      <c r="A673" s="23">
        <v>45119</v>
      </c>
      <c r="B673" s="22">
        <v>1046.55</v>
      </c>
      <c r="D673">
        <f t="shared" si="20"/>
        <v>3.8235434689085079E-4</v>
      </c>
      <c r="F673" s="23">
        <v>45242</v>
      </c>
      <c r="G673" s="22">
        <v>20997.1</v>
      </c>
      <c r="H673">
        <f t="shared" si="21"/>
        <v>1.3209724646388113E-3</v>
      </c>
    </row>
    <row r="674" spans="1:8" x14ac:dyDescent="0.45">
      <c r="A674" s="23">
        <v>45150</v>
      </c>
      <c r="B674" s="22">
        <v>1036.0999999999999</v>
      </c>
      <c r="D674">
        <f t="shared" si="20"/>
        <v>-9.9851894319430944E-3</v>
      </c>
      <c r="F674" s="23">
        <v>45272</v>
      </c>
      <c r="G674" s="22">
        <v>20906.400000000001</v>
      </c>
      <c r="H674">
        <f t="shared" si="21"/>
        <v>-4.3196441413336653E-3</v>
      </c>
    </row>
    <row r="675" spans="1:8" x14ac:dyDescent="0.45">
      <c r="A675" s="23">
        <v>45242</v>
      </c>
      <c r="B675" s="22">
        <v>1062.7</v>
      </c>
      <c r="D675">
        <f t="shared" si="20"/>
        <v>2.567319756780247E-2</v>
      </c>
      <c r="F675" s="21" t="s">
        <v>655</v>
      </c>
      <c r="G675" s="22">
        <v>20926.349999999999</v>
      </c>
      <c r="H675">
        <f t="shared" si="21"/>
        <v>9.5425324302591977E-4</v>
      </c>
    </row>
    <row r="676" spans="1:8" x14ac:dyDescent="0.45">
      <c r="A676" s="23">
        <v>45272</v>
      </c>
      <c r="B676" s="22">
        <v>1057.55</v>
      </c>
      <c r="D676">
        <f t="shared" si="20"/>
        <v>-4.84614660769746E-3</v>
      </c>
      <c r="F676" s="21" t="s">
        <v>656</v>
      </c>
      <c r="G676" s="22">
        <v>21182.7</v>
      </c>
      <c r="H676">
        <f t="shared" si="21"/>
        <v>1.2250105727945973E-2</v>
      </c>
    </row>
    <row r="677" spans="1:8" x14ac:dyDescent="0.45">
      <c r="A677" s="21" t="s">
        <v>655</v>
      </c>
      <c r="B677" s="22">
        <v>1042.2</v>
      </c>
      <c r="D677">
        <f t="shared" si="20"/>
        <v>-1.4514680156966489E-2</v>
      </c>
      <c r="F677" s="21" t="s">
        <v>657</v>
      </c>
      <c r="G677" s="22">
        <v>21456.65</v>
      </c>
      <c r="H677">
        <f t="shared" si="21"/>
        <v>1.2932723401643828E-2</v>
      </c>
    </row>
    <row r="678" spans="1:8" x14ac:dyDescent="0.45">
      <c r="A678" s="21" t="s">
        <v>656</v>
      </c>
      <c r="B678" s="22">
        <v>1033.05</v>
      </c>
      <c r="D678">
        <f t="shared" si="20"/>
        <v>-8.7795048934946173E-3</v>
      </c>
      <c r="F678" s="21" t="s">
        <v>658</v>
      </c>
      <c r="G678" s="22">
        <v>21418.65</v>
      </c>
      <c r="H678">
        <f t="shared" si="21"/>
        <v>-1.7710127163373592E-3</v>
      </c>
    </row>
    <row r="679" spans="1:8" x14ac:dyDescent="0.45">
      <c r="A679" s="21" t="s">
        <v>657</v>
      </c>
      <c r="B679" s="22">
        <v>1040.6500000000001</v>
      </c>
      <c r="D679">
        <f t="shared" si="20"/>
        <v>7.356855912105064E-3</v>
      </c>
      <c r="F679" s="21" t="s">
        <v>659</v>
      </c>
      <c r="G679" s="22">
        <v>21453.1</v>
      </c>
      <c r="H679">
        <f t="shared" si="21"/>
        <v>1.6084113611267324E-3</v>
      </c>
    </row>
    <row r="680" spans="1:8" x14ac:dyDescent="0.45">
      <c r="A680" s="21" t="s">
        <v>658</v>
      </c>
      <c r="B680" s="22">
        <v>1031.5</v>
      </c>
      <c r="D680">
        <f t="shared" si="20"/>
        <v>-8.7925815596022576E-3</v>
      </c>
      <c r="F680" s="21" t="s">
        <v>660</v>
      </c>
      <c r="G680" s="22">
        <v>21150.15</v>
      </c>
      <c r="H680">
        <f t="shared" si="21"/>
        <v>-1.4121502253753401E-2</v>
      </c>
    </row>
    <row r="681" spans="1:8" x14ac:dyDescent="0.45">
      <c r="A681" s="21" t="s">
        <v>659</v>
      </c>
      <c r="B681" s="22">
        <v>1031.6500000000001</v>
      </c>
      <c r="D681">
        <f t="shared" si="20"/>
        <v>1.4541929229286568E-4</v>
      </c>
      <c r="F681" s="21" t="s">
        <v>661</v>
      </c>
      <c r="G681" s="22">
        <v>21255.05</v>
      </c>
      <c r="H681">
        <f t="shared" si="21"/>
        <v>4.9597756989902108E-3</v>
      </c>
    </row>
    <row r="682" spans="1:8" x14ac:dyDescent="0.45">
      <c r="A682" s="21" t="s">
        <v>660</v>
      </c>
      <c r="B682" s="22">
        <v>1021.55</v>
      </c>
      <c r="D682">
        <f t="shared" si="20"/>
        <v>-9.7901420055252607E-3</v>
      </c>
      <c r="F682" s="21" t="s">
        <v>662</v>
      </c>
      <c r="G682" s="22">
        <v>21349.4</v>
      </c>
      <c r="H682">
        <f t="shared" si="21"/>
        <v>4.4389450977533424E-3</v>
      </c>
    </row>
    <row r="683" spans="1:8" x14ac:dyDescent="0.45">
      <c r="A683" s="21" t="s">
        <v>661</v>
      </c>
      <c r="B683" s="22">
        <v>1022.6</v>
      </c>
      <c r="D683">
        <f t="shared" si="20"/>
        <v>1.0278498360335453E-3</v>
      </c>
      <c r="F683" s="21" t="s">
        <v>663</v>
      </c>
      <c r="G683" s="22">
        <v>21441.35</v>
      </c>
      <c r="H683">
        <f t="shared" si="21"/>
        <v>4.3069126064431357E-3</v>
      </c>
    </row>
    <row r="684" spans="1:8" x14ac:dyDescent="0.45">
      <c r="A684" s="21" t="s">
        <v>662</v>
      </c>
      <c r="B684" s="22">
        <v>1008.5</v>
      </c>
      <c r="D684">
        <f t="shared" si="20"/>
        <v>-1.3788382554273443E-2</v>
      </c>
      <c r="F684" s="21" t="s">
        <v>664</v>
      </c>
      <c r="G684" s="22">
        <v>21654.75</v>
      </c>
      <c r="H684">
        <f t="shared" si="21"/>
        <v>9.9527315211029848E-3</v>
      </c>
    </row>
    <row r="685" spans="1:8" x14ac:dyDescent="0.45">
      <c r="A685" s="21" t="s">
        <v>663</v>
      </c>
      <c r="B685" s="22">
        <v>995.95</v>
      </c>
      <c r="D685">
        <f t="shared" si="20"/>
        <v>-1.2444224095190833E-2</v>
      </c>
      <c r="F685" s="21" t="s">
        <v>665</v>
      </c>
      <c r="G685" s="22">
        <v>21778.7</v>
      </c>
      <c r="H685">
        <f t="shared" si="21"/>
        <v>5.7239173853311969E-3</v>
      </c>
    </row>
    <row r="686" spans="1:8" x14ac:dyDescent="0.45">
      <c r="A686" s="21" t="s">
        <v>664</v>
      </c>
      <c r="B686" s="22">
        <v>1011.6</v>
      </c>
      <c r="D686">
        <f t="shared" si="20"/>
        <v>1.5713640242984061E-2</v>
      </c>
      <c r="F686" s="21" t="s">
        <v>666</v>
      </c>
      <c r="G686" s="22">
        <v>21731.4</v>
      </c>
      <c r="H686">
        <f t="shared" si="21"/>
        <v>-2.1718468044465127E-3</v>
      </c>
    </row>
    <row r="687" spans="1:8" x14ac:dyDescent="0.45">
      <c r="A687" s="21" t="s">
        <v>665</v>
      </c>
      <c r="B687" s="22">
        <v>1021.9</v>
      </c>
      <c r="D687">
        <f t="shared" si="20"/>
        <v>1.0181890075128465E-2</v>
      </c>
      <c r="F687" s="23">
        <v>45292</v>
      </c>
      <c r="G687" s="22">
        <v>21741.9</v>
      </c>
      <c r="H687">
        <f t="shared" si="21"/>
        <v>4.8317181589773318E-4</v>
      </c>
    </row>
    <row r="688" spans="1:8" x14ac:dyDescent="0.45">
      <c r="A688" s="21" t="s">
        <v>666</v>
      </c>
      <c r="B688" s="22">
        <v>1052.05</v>
      </c>
      <c r="D688">
        <f t="shared" si="20"/>
        <v>2.9503865348859945E-2</v>
      </c>
      <c r="F688" s="23">
        <v>45323</v>
      </c>
      <c r="G688" s="22">
        <v>21665.8</v>
      </c>
      <c r="H688">
        <f t="shared" si="21"/>
        <v>-3.5001540803702609E-3</v>
      </c>
    </row>
    <row r="689" spans="1:8" x14ac:dyDescent="0.45">
      <c r="A689" s="23">
        <v>45292</v>
      </c>
      <c r="B689" s="22">
        <v>1072.5</v>
      </c>
      <c r="D689">
        <f t="shared" si="20"/>
        <v>1.9438239627394178E-2</v>
      </c>
      <c r="F689" s="23">
        <v>45352</v>
      </c>
      <c r="G689" s="22">
        <v>21517.35</v>
      </c>
      <c r="H689">
        <f t="shared" si="21"/>
        <v>-6.8518125340398571E-3</v>
      </c>
    </row>
    <row r="690" spans="1:8" x14ac:dyDescent="0.45">
      <c r="A690" s="23">
        <v>45323</v>
      </c>
      <c r="B690" s="22">
        <v>1095.6500000000001</v>
      </c>
      <c r="D690">
        <f t="shared" si="20"/>
        <v>2.158508158508167E-2</v>
      </c>
      <c r="F690" s="23">
        <v>45383</v>
      </c>
      <c r="G690" s="22">
        <v>21658.6</v>
      </c>
      <c r="H690">
        <f t="shared" si="21"/>
        <v>6.5644700671783473E-3</v>
      </c>
    </row>
    <row r="691" spans="1:8" x14ac:dyDescent="0.45">
      <c r="A691" s="23">
        <v>45352</v>
      </c>
      <c r="B691" s="22">
        <v>1091.05</v>
      </c>
      <c r="D691">
        <f t="shared" si="20"/>
        <v>-4.1984210286132766E-3</v>
      </c>
      <c r="F691" s="23">
        <v>45413</v>
      </c>
      <c r="G691" s="22">
        <v>21710.799999999999</v>
      </c>
      <c r="H691">
        <f t="shared" si="21"/>
        <v>2.4101280784538581E-3</v>
      </c>
    </row>
    <row r="692" spans="1:8" x14ac:dyDescent="0.45">
      <c r="A692" s="23">
        <v>45383</v>
      </c>
      <c r="B692" s="22">
        <v>1068.3499999999999</v>
      </c>
      <c r="D692">
        <f t="shared" si="20"/>
        <v>-2.0805645937399794E-2</v>
      </c>
      <c r="F692" s="23">
        <v>45505</v>
      </c>
      <c r="G692" s="22">
        <v>21513</v>
      </c>
      <c r="H692">
        <f t="shared" si="21"/>
        <v>-9.1106730290914789E-3</v>
      </c>
    </row>
    <row r="693" spans="1:8" x14ac:dyDescent="0.45">
      <c r="A693" s="23">
        <v>45413</v>
      </c>
      <c r="B693" s="22">
        <v>1070.8</v>
      </c>
      <c r="D693">
        <f t="shared" si="20"/>
        <v>2.2932559554453558E-3</v>
      </c>
      <c r="F693" s="23">
        <v>45536</v>
      </c>
      <c r="G693" s="22">
        <v>21544.85</v>
      </c>
      <c r="H693">
        <f t="shared" si="21"/>
        <v>1.4805001626922579E-3</v>
      </c>
    </row>
    <row r="694" spans="1:8" x14ac:dyDescent="0.45">
      <c r="A694" s="23">
        <v>45505</v>
      </c>
      <c r="B694" s="22">
        <v>1053.8499999999999</v>
      </c>
      <c r="D694">
        <f t="shared" si="20"/>
        <v>-1.5829286514755365E-2</v>
      </c>
      <c r="F694" s="23">
        <v>45566</v>
      </c>
      <c r="G694" s="22">
        <v>21618.7</v>
      </c>
      <c r="H694">
        <f t="shared" si="21"/>
        <v>3.4277333098166004E-3</v>
      </c>
    </row>
    <row r="695" spans="1:8" x14ac:dyDescent="0.45">
      <c r="A695" s="23">
        <v>45536</v>
      </c>
      <c r="B695" s="22">
        <v>1018.35</v>
      </c>
      <c r="D695">
        <f t="shared" si="20"/>
        <v>-3.3686008445224548E-2</v>
      </c>
      <c r="F695" s="23">
        <v>45597</v>
      </c>
      <c r="G695" s="22">
        <v>21647.200000000001</v>
      </c>
      <c r="H695">
        <f t="shared" si="21"/>
        <v>1.3183031357112129E-3</v>
      </c>
    </row>
    <row r="696" spans="1:8" x14ac:dyDescent="0.45">
      <c r="A696" s="23">
        <v>45566</v>
      </c>
      <c r="B696" s="22">
        <v>958.9</v>
      </c>
      <c r="D696">
        <f t="shared" si="20"/>
        <v>-5.8378749938626254E-2</v>
      </c>
      <c r="F696" s="23">
        <v>45627</v>
      </c>
      <c r="G696" s="22">
        <v>21894.55</v>
      </c>
      <c r="H696">
        <f t="shared" si="21"/>
        <v>1.1426420045086596E-2</v>
      </c>
    </row>
    <row r="697" spans="1:8" x14ac:dyDescent="0.45">
      <c r="A697" s="23">
        <v>45597</v>
      </c>
      <c r="B697" s="22">
        <v>953.5</v>
      </c>
      <c r="D697">
        <f t="shared" si="20"/>
        <v>-5.6314527062258602E-3</v>
      </c>
      <c r="F697" s="21" t="s">
        <v>667</v>
      </c>
      <c r="G697" s="22">
        <v>22097.45</v>
      </c>
      <c r="H697">
        <f t="shared" si="21"/>
        <v>9.2671463903118111E-3</v>
      </c>
    </row>
    <row r="698" spans="1:8" x14ac:dyDescent="0.45">
      <c r="A698" s="23">
        <v>45627</v>
      </c>
      <c r="B698" s="22">
        <v>959.65</v>
      </c>
      <c r="D698">
        <f t="shared" si="20"/>
        <v>6.4499213424226293E-3</v>
      </c>
      <c r="F698" s="21" t="s">
        <v>668</v>
      </c>
      <c r="G698" s="22">
        <v>22032.3</v>
      </c>
      <c r="H698">
        <f t="shared" si="21"/>
        <v>-2.9483039898269463E-3</v>
      </c>
    </row>
    <row r="699" spans="1:8" x14ac:dyDescent="0.45">
      <c r="A699" s="21" t="s">
        <v>667</v>
      </c>
      <c r="B699" s="22">
        <v>952.75</v>
      </c>
      <c r="D699">
        <f t="shared" si="20"/>
        <v>-7.1901213984264861E-3</v>
      </c>
      <c r="F699" s="21" t="s">
        <v>669</v>
      </c>
      <c r="G699" s="22">
        <v>21571.95</v>
      </c>
      <c r="H699">
        <f t="shared" si="21"/>
        <v>-2.0894323334377189E-2</v>
      </c>
    </row>
    <row r="700" spans="1:8" x14ac:dyDescent="0.45">
      <c r="A700" s="21" t="s">
        <v>668</v>
      </c>
      <c r="B700" s="22">
        <v>934.85</v>
      </c>
      <c r="D700">
        <f t="shared" si="20"/>
        <v>-1.8787719758593523E-2</v>
      </c>
      <c r="F700" s="21" t="s">
        <v>670</v>
      </c>
      <c r="G700" s="22">
        <v>21462.25</v>
      </c>
      <c r="H700">
        <f t="shared" si="21"/>
        <v>-5.0853075405793511E-3</v>
      </c>
    </row>
    <row r="701" spans="1:8" x14ac:dyDescent="0.45">
      <c r="A701" s="21" t="s">
        <v>669</v>
      </c>
      <c r="B701" s="22">
        <v>941.15</v>
      </c>
      <c r="D701">
        <f t="shared" si="20"/>
        <v>6.739049045301336E-3</v>
      </c>
      <c r="F701" s="21" t="s">
        <v>671</v>
      </c>
      <c r="G701" s="22">
        <v>21622.400000000001</v>
      </c>
      <c r="H701">
        <f t="shared" si="21"/>
        <v>7.4619389858939043E-3</v>
      </c>
    </row>
    <row r="702" spans="1:8" x14ac:dyDescent="0.45">
      <c r="A702" s="21" t="s">
        <v>670</v>
      </c>
      <c r="B702" s="22">
        <v>940.75</v>
      </c>
      <c r="D702">
        <f t="shared" si="20"/>
        <v>-4.2501195346116694E-4</v>
      </c>
      <c r="F702" s="21" t="s">
        <v>672</v>
      </c>
      <c r="G702" s="22">
        <v>21571.8</v>
      </c>
      <c r="H702">
        <f t="shared" si="21"/>
        <v>-2.3401657540329558E-3</v>
      </c>
    </row>
    <row r="703" spans="1:8" x14ac:dyDescent="0.45">
      <c r="A703" s="21" t="s">
        <v>671</v>
      </c>
      <c r="B703" s="22">
        <v>942.75</v>
      </c>
      <c r="D703">
        <f t="shared" si="20"/>
        <v>2.1259633271326068E-3</v>
      </c>
      <c r="F703" s="21" t="s">
        <v>673</v>
      </c>
      <c r="G703" s="22">
        <v>21238.799999999999</v>
      </c>
      <c r="H703">
        <f t="shared" si="21"/>
        <v>-1.5436820293160515E-2</v>
      </c>
    </row>
    <row r="704" spans="1:8" x14ac:dyDescent="0.45">
      <c r="A704" s="21" t="s">
        <v>672</v>
      </c>
      <c r="B704" s="22">
        <v>932.8</v>
      </c>
      <c r="D704">
        <f t="shared" si="20"/>
        <v>-1.0554229647308455E-2</v>
      </c>
      <c r="F704" s="21" t="s">
        <v>674</v>
      </c>
      <c r="G704" s="22">
        <v>21453.95</v>
      </c>
      <c r="H704">
        <f t="shared" si="21"/>
        <v>1.0130045011959313E-2</v>
      </c>
    </row>
    <row r="705" spans="1:8" x14ac:dyDescent="0.45">
      <c r="A705" s="21" t="s">
        <v>673</v>
      </c>
      <c r="B705" s="22">
        <v>948.7</v>
      </c>
      <c r="D705">
        <f t="shared" si="20"/>
        <v>1.7045454545454645E-2</v>
      </c>
      <c r="F705" s="21" t="s">
        <v>675</v>
      </c>
      <c r="G705" s="22">
        <v>21352.6</v>
      </c>
      <c r="H705">
        <f t="shared" si="21"/>
        <v>-4.7240717909756563E-3</v>
      </c>
    </row>
    <row r="706" spans="1:8" x14ac:dyDescent="0.45">
      <c r="A706" s="21" t="s">
        <v>674</v>
      </c>
      <c r="B706" s="22">
        <v>962</v>
      </c>
      <c r="D706">
        <f t="shared" si="20"/>
        <v>1.4019184146727051E-2</v>
      </c>
      <c r="F706" s="21" t="s">
        <v>676</v>
      </c>
      <c r="G706" s="22">
        <v>21737.599999999999</v>
      </c>
      <c r="H706">
        <f t="shared" si="21"/>
        <v>1.8030591122392591E-2</v>
      </c>
    </row>
    <row r="707" spans="1:8" x14ac:dyDescent="0.45">
      <c r="A707" s="21" t="s">
        <v>675</v>
      </c>
      <c r="B707" s="22">
        <v>964.5</v>
      </c>
      <c r="D707">
        <f t="shared" si="20"/>
        <v>2.5987525987525989E-3</v>
      </c>
      <c r="F707" s="21" t="s">
        <v>677</v>
      </c>
      <c r="G707" s="22">
        <v>21522.1</v>
      </c>
      <c r="H707">
        <f t="shared" si="21"/>
        <v>-9.9136979243338742E-3</v>
      </c>
    </row>
    <row r="708" spans="1:8" x14ac:dyDescent="0.45">
      <c r="A708" s="21" t="s">
        <v>676</v>
      </c>
      <c r="B708" s="22">
        <v>930</v>
      </c>
      <c r="D708">
        <f t="shared" ref="D708:D771" si="22">(B708-B707)/B707</f>
        <v>-3.5769828926905133E-2</v>
      </c>
      <c r="F708" s="21" t="s">
        <v>678</v>
      </c>
      <c r="G708" s="22">
        <v>21725.7</v>
      </c>
      <c r="H708">
        <f t="shared" si="21"/>
        <v>9.460043397252229E-3</v>
      </c>
    </row>
    <row r="709" spans="1:8" x14ac:dyDescent="0.45">
      <c r="A709" s="21" t="s">
        <v>677</v>
      </c>
      <c r="B709" s="22">
        <v>921.25</v>
      </c>
      <c r="D709">
        <f t="shared" si="22"/>
        <v>-9.4086021505376347E-3</v>
      </c>
      <c r="F709" s="23">
        <v>45293</v>
      </c>
      <c r="G709" s="22">
        <v>21697.45</v>
      </c>
      <c r="H709">
        <f t="shared" ref="H709:H772" si="23">(G709-G708)/G708</f>
        <v>-1.3003033273956651E-3</v>
      </c>
    </row>
    <row r="710" spans="1:8" x14ac:dyDescent="0.45">
      <c r="A710" s="21" t="s">
        <v>678</v>
      </c>
      <c r="B710" s="22">
        <v>949.3</v>
      </c>
      <c r="D710">
        <f t="shared" si="22"/>
        <v>3.0447761194029803E-2</v>
      </c>
      <c r="F710" s="23">
        <v>45324</v>
      </c>
      <c r="G710" s="22">
        <v>21853.8</v>
      </c>
      <c r="H710">
        <f t="shared" si="23"/>
        <v>7.2059159025599107E-3</v>
      </c>
    </row>
    <row r="711" spans="1:8" x14ac:dyDescent="0.45">
      <c r="A711" s="23">
        <v>45293</v>
      </c>
      <c r="B711" s="22">
        <v>935.9</v>
      </c>
      <c r="D711">
        <f t="shared" si="22"/>
        <v>-1.4115664173601578E-2</v>
      </c>
      <c r="F711" s="23">
        <v>45414</v>
      </c>
      <c r="G711" s="22">
        <v>21771.7</v>
      </c>
      <c r="H711">
        <f t="shared" si="23"/>
        <v>-3.7567837172481923E-3</v>
      </c>
    </row>
    <row r="712" spans="1:8" x14ac:dyDescent="0.45">
      <c r="A712" s="23">
        <v>45324</v>
      </c>
      <c r="B712" s="22">
        <v>950.3</v>
      </c>
      <c r="D712">
        <f t="shared" si="22"/>
        <v>1.5386259215728152E-2</v>
      </c>
      <c r="F712" s="23">
        <v>45445</v>
      </c>
      <c r="G712" s="22">
        <v>21929.4</v>
      </c>
      <c r="H712">
        <f t="shared" si="23"/>
        <v>7.2433480160024582E-3</v>
      </c>
    </row>
    <row r="713" spans="1:8" x14ac:dyDescent="0.45">
      <c r="A713" s="23">
        <v>45414</v>
      </c>
      <c r="B713" s="22">
        <v>915.35</v>
      </c>
      <c r="D713">
        <f t="shared" si="22"/>
        <v>-3.6777859623276787E-2</v>
      </c>
      <c r="F713" s="23">
        <v>45475</v>
      </c>
      <c r="G713" s="22">
        <v>21930.5</v>
      </c>
      <c r="H713">
        <f t="shared" si="23"/>
        <v>5.016097111633445E-5</v>
      </c>
    </row>
    <row r="714" spans="1:8" x14ac:dyDescent="0.45">
      <c r="A714" s="23">
        <v>45445</v>
      </c>
      <c r="B714" s="22">
        <v>917.55</v>
      </c>
      <c r="D714">
        <f t="shared" si="22"/>
        <v>2.4034522313868267E-3</v>
      </c>
      <c r="F714" s="23">
        <v>45506</v>
      </c>
      <c r="G714" s="22">
        <v>21717.95</v>
      </c>
      <c r="H714">
        <f t="shared" si="23"/>
        <v>-9.6919814869701679E-3</v>
      </c>
    </row>
    <row r="715" spans="1:8" x14ac:dyDescent="0.45">
      <c r="A715" s="23">
        <v>45475</v>
      </c>
      <c r="B715" s="22">
        <v>908.25</v>
      </c>
      <c r="D715">
        <f t="shared" si="22"/>
        <v>-1.0135687428477962E-2</v>
      </c>
      <c r="F715" s="23">
        <v>45537</v>
      </c>
      <c r="G715" s="22">
        <v>21782.5</v>
      </c>
      <c r="H715">
        <f t="shared" si="23"/>
        <v>2.9721958103780177E-3</v>
      </c>
    </row>
    <row r="716" spans="1:8" x14ac:dyDescent="0.45">
      <c r="A716" s="23">
        <v>45506</v>
      </c>
      <c r="B716" s="22">
        <v>909.05</v>
      </c>
      <c r="D716">
        <f t="shared" si="22"/>
        <v>8.8081475364707351E-4</v>
      </c>
      <c r="F716" s="23">
        <v>45628</v>
      </c>
      <c r="G716" s="22">
        <v>21616.05</v>
      </c>
      <c r="H716">
        <f t="shared" si="23"/>
        <v>-7.6414552966831504E-3</v>
      </c>
    </row>
    <row r="717" spans="1:8" x14ac:dyDescent="0.45">
      <c r="A717" s="23">
        <v>45537</v>
      </c>
      <c r="B717" s="22">
        <v>922.5</v>
      </c>
      <c r="D717">
        <f t="shared" si="22"/>
        <v>1.4795665804961274E-2</v>
      </c>
      <c r="F717" s="21" t="s">
        <v>679</v>
      </c>
      <c r="G717" s="22">
        <v>21743.25</v>
      </c>
      <c r="H717">
        <f t="shared" si="23"/>
        <v>5.8845163663111778E-3</v>
      </c>
    </row>
    <row r="718" spans="1:8" x14ac:dyDescent="0.45">
      <c r="A718" s="23">
        <v>45628</v>
      </c>
      <c r="B718" s="22">
        <v>830.45</v>
      </c>
      <c r="D718">
        <f t="shared" si="22"/>
        <v>-9.9783197831978268E-2</v>
      </c>
      <c r="F718" s="21" t="s">
        <v>680</v>
      </c>
      <c r="G718" s="22">
        <v>21840.05</v>
      </c>
      <c r="H718">
        <f t="shared" si="23"/>
        <v>4.4519563542708323E-3</v>
      </c>
    </row>
    <row r="719" spans="1:8" x14ac:dyDescent="0.45">
      <c r="A719" s="21" t="s">
        <v>679</v>
      </c>
      <c r="B719" s="22">
        <v>834.45</v>
      </c>
      <c r="D719">
        <f t="shared" si="22"/>
        <v>4.8166656631946532E-3</v>
      </c>
      <c r="F719" s="21" t="s">
        <v>681</v>
      </c>
      <c r="G719" s="22">
        <v>21910.75</v>
      </c>
      <c r="H719">
        <f t="shared" si="23"/>
        <v>3.2371720760712877E-3</v>
      </c>
    </row>
    <row r="720" spans="1:8" x14ac:dyDescent="0.45">
      <c r="A720" s="21" t="s">
        <v>680</v>
      </c>
      <c r="B720" s="22">
        <v>848.45</v>
      </c>
      <c r="D720">
        <f t="shared" si="22"/>
        <v>1.6777518125711547E-2</v>
      </c>
      <c r="F720" s="21" t="s">
        <v>682</v>
      </c>
      <c r="G720" s="22">
        <v>22040.7</v>
      </c>
      <c r="H720">
        <f t="shared" si="23"/>
        <v>5.9308786782743964E-3</v>
      </c>
    </row>
    <row r="721" spans="1:8" x14ac:dyDescent="0.45">
      <c r="A721" s="21" t="s">
        <v>681</v>
      </c>
      <c r="B721" s="22">
        <v>890.35</v>
      </c>
      <c r="D721">
        <f t="shared" si="22"/>
        <v>4.9384171135600181E-2</v>
      </c>
      <c r="F721" s="21" t="s">
        <v>683</v>
      </c>
      <c r="G721" s="22">
        <v>22122.25</v>
      </c>
      <c r="H721">
        <f t="shared" si="23"/>
        <v>3.6999732313401693E-3</v>
      </c>
    </row>
    <row r="722" spans="1:8" x14ac:dyDescent="0.45">
      <c r="A722" s="21" t="s">
        <v>682</v>
      </c>
      <c r="B722" s="22">
        <v>906.15</v>
      </c>
      <c r="D722">
        <f t="shared" si="22"/>
        <v>1.7745830291458365E-2</v>
      </c>
      <c r="F722" s="21" t="s">
        <v>684</v>
      </c>
      <c r="G722" s="22">
        <v>22196.95</v>
      </c>
      <c r="H722">
        <f t="shared" si="23"/>
        <v>3.376690888133021E-3</v>
      </c>
    </row>
    <row r="723" spans="1:8" x14ac:dyDescent="0.45">
      <c r="A723" s="21" t="s">
        <v>683</v>
      </c>
      <c r="B723" s="22">
        <v>923.4</v>
      </c>
      <c r="D723">
        <f t="shared" si="22"/>
        <v>1.9036583347127961E-2</v>
      </c>
      <c r="F723" s="21" t="s">
        <v>685</v>
      </c>
      <c r="G723" s="22">
        <v>22055.05</v>
      </c>
      <c r="H723">
        <f t="shared" si="23"/>
        <v>-6.3927701778848647E-3</v>
      </c>
    </row>
    <row r="724" spans="1:8" x14ac:dyDescent="0.45">
      <c r="A724" s="21" t="s">
        <v>684</v>
      </c>
      <c r="B724" s="22">
        <v>913.35</v>
      </c>
      <c r="D724">
        <f t="shared" si="22"/>
        <v>-1.0883690708252063E-2</v>
      </c>
      <c r="F724" s="21" t="s">
        <v>686</v>
      </c>
      <c r="G724" s="22">
        <v>22217.45</v>
      </c>
      <c r="H724">
        <f t="shared" si="23"/>
        <v>7.3633929644231801E-3</v>
      </c>
    </row>
    <row r="725" spans="1:8" x14ac:dyDescent="0.45">
      <c r="A725" s="21" t="s">
        <v>685</v>
      </c>
      <c r="B725" s="22">
        <v>890.7</v>
      </c>
      <c r="D725">
        <f t="shared" si="22"/>
        <v>-2.479881753982589E-2</v>
      </c>
      <c r="F725" s="21" t="s">
        <v>687</v>
      </c>
      <c r="G725" s="22">
        <v>22212.7</v>
      </c>
      <c r="H725">
        <f t="shared" si="23"/>
        <v>-2.1379591267224637E-4</v>
      </c>
    </row>
    <row r="726" spans="1:8" x14ac:dyDescent="0.45">
      <c r="A726" s="21" t="s">
        <v>686</v>
      </c>
      <c r="B726" s="22">
        <v>921.45</v>
      </c>
      <c r="D726">
        <f t="shared" si="22"/>
        <v>3.4523408555069045E-2</v>
      </c>
      <c r="F726" s="21" t="s">
        <v>688</v>
      </c>
      <c r="G726" s="22">
        <v>22122.05</v>
      </c>
      <c r="H726">
        <f t="shared" si="23"/>
        <v>-4.08099870794642E-3</v>
      </c>
    </row>
    <row r="727" spans="1:8" x14ac:dyDescent="0.45">
      <c r="A727" s="21" t="s">
        <v>687</v>
      </c>
      <c r="B727" s="22">
        <v>940.45</v>
      </c>
      <c r="D727">
        <f t="shared" si="22"/>
        <v>2.0619675511422214E-2</v>
      </c>
      <c r="F727" s="21" t="s">
        <v>689</v>
      </c>
      <c r="G727" s="22">
        <v>22198.35</v>
      </c>
      <c r="H727">
        <f t="shared" si="23"/>
        <v>3.449047443613918E-3</v>
      </c>
    </row>
    <row r="728" spans="1:8" x14ac:dyDescent="0.45">
      <c r="A728" s="21" t="s">
        <v>688</v>
      </c>
      <c r="B728" s="22">
        <v>941.65</v>
      </c>
      <c r="D728">
        <f t="shared" si="22"/>
        <v>1.2759849008452675E-3</v>
      </c>
      <c r="F728" s="21" t="s">
        <v>690</v>
      </c>
      <c r="G728" s="22">
        <v>21951.15</v>
      </c>
      <c r="H728">
        <f t="shared" si="23"/>
        <v>-1.1135962808046414E-2</v>
      </c>
    </row>
    <row r="729" spans="1:8" x14ac:dyDescent="0.45">
      <c r="A729" s="21" t="s">
        <v>689</v>
      </c>
      <c r="B729" s="22">
        <v>953</v>
      </c>
      <c r="D729">
        <f t="shared" si="22"/>
        <v>1.2053310678065123E-2</v>
      </c>
      <c r="F729" s="21" t="s">
        <v>691</v>
      </c>
      <c r="G729" s="22">
        <v>21982.799999999999</v>
      </c>
      <c r="H729">
        <f t="shared" si="23"/>
        <v>1.4418378991532478E-3</v>
      </c>
    </row>
    <row r="730" spans="1:8" x14ac:dyDescent="0.45">
      <c r="A730" s="21" t="s">
        <v>690</v>
      </c>
      <c r="B730" s="22">
        <v>954.25</v>
      </c>
      <c r="D730">
        <f t="shared" si="22"/>
        <v>1.3116474291710388E-3</v>
      </c>
      <c r="F730" s="23">
        <v>45294</v>
      </c>
      <c r="G730" s="22">
        <v>22338.75</v>
      </c>
      <c r="H730">
        <f t="shared" si="23"/>
        <v>1.6192204814673324E-2</v>
      </c>
    </row>
    <row r="731" spans="1:8" x14ac:dyDescent="0.45">
      <c r="A731" s="21" t="s">
        <v>691</v>
      </c>
      <c r="B731" s="22">
        <v>956.3</v>
      </c>
      <c r="D731">
        <f t="shared" si="22"/>
        <v>2.1482839926643483E-3</v>
      </c>
      <c r="F731" s="23">
        <v>45325</v>
      </c>
      <c r="G731" s="22">
        <v>22378.400000000001</v>
      </c>
      <c r="H731">
        <f t="shared" si="23"/>
        <v>1.7749426445079271E-3</v>
      </c>
    </row>
    <row r="732" spans="1:8" x14ac:dyDescent="0.45">
      <c r="A732" s="23">
        <v>45294</v>
      </c>
      <c r="B732" s="22">
        <v>958.25</v>
      </c>
      <c r="D732">
        <f t="shared" si="22"/>
        <v>2.039109066192665E-3</v>
      </c>
      <c r="F732" s="23">
        <v>45385</v>
      </c>
      <c r="G732" s="22">
        <v>22405.599999999999</v>
      </c>
      <c r="H732">
        <f t="shared" si="23"/>
        <v>1.215457762842611E-3</v>
      </c>
    </row>
    <row r="733" spans="1:8" x14ac:dyDescent="0.45">
      <c r="A733" s="23">
        <v>45325</v>
      </c>
      <c r="B733" s="22">
        <v>958.1</v>
      </c>
      <c r="D733">
        <f t="shared" si="22"/>
        <v>-1.5653535090005453E-4</v>
      </c>
      <c r="F733" s="23">
        <v>45415</v>
      </c>
      <c r="G733" s="22">
        <v>22356.3</v>
      </c>
      <c r="H733">
        <f t="shared" si="23"/>
        <v>-2.2003427714499622E-3</v>
      </c>
    </row>
    <row r="734" spans="1:8" x14ac:dyDescent="0.45">
      <c r="A734" s="23">
        <v>45385</v>
      </c>
      <c r="B734" s="22">
        <v>956.7</v>
      </c>
      <c r="D734">
        <f t="shared" si="22"/>
        <v>-1.461225341822333E-3</v>
      </c>
      <c r="F734" s="23">
        <v>45446</v>
      </c>
      <c r="G734" s="22">
        <v>22474.05</v>
      </c>
      <c r="H734">
        <f t="shared" si="23"/>
        <v>5.2669717260906326E-3</v>
      </c>
    </row>
    <row r="735" spans="1:8" x14ac:dyDescent="0.45">
      <c r="A735" s="23">
        <v>45415</v>
      </c>
      <c r="B735" s="22">
        <v>957.55</v>
      </c>
      <c r="D735">
        <f t="shared" si="22"/>
        <v>8.8847078498997497E-4</v>
      </c>
      <c r="F735" s="23">
        <v>45476</v>
      </c>
      <c r="G735" s="22">
        <v>22493.55</v>
      </c>
      <c r="H735">
        <f t="shared" si="23"/>
        <v>8.6766737637408481E-4</v>
      </c>
    </row>
    <row r="736" spans="1:8" x14ac:dyDescent="0.45">
      <c r="A736" s="23">
        <v>45446</v>
      </c>
      <c r="B736" s="22">
        <v>953.85</v>
      </c>
      <c r="D736">
        <f t="shared" si="22"/>
        <v>-3.8640279880945453E-3</v>
      </c>
      <c r="F736" s="23">
        <v>45599</v>
      </c>
      <c r="G736" s="22">
        <v>22332.65</v>
      </c>
      <c r="H736">
        <f t="shared" si="23"/>
        <v>-7.1531616841271307E-3</v>
      </c>
    </row>
    <row r="737" spans="1:8" x14ac:dyDescent="0.45">
      <c r="A737" s="23">
        <v>45476</v>
      </c>
      <c r="B737" s="22">
        <v>936.65</v>
      </c>
      <c r="D737">
        <f t="shared" si="22"/>
        <v>-1.8032185354091363E-2</v>
      </c>
      <c r="F737" s="23">
        <v>45629</v>
      </c>
      <c r="G737" s="22">
        <v>22335.7</v>
      </c>
      <c r="H737">
        <f t="shared" si="23"/>
        <v>1.3657134285448758E-4</v>
      </c>
    </row>
    <row r="738" spans="1:8" x14ac:dyDescent="0.45">
      <c r="A738" s="23">
        <v>45599</v>
      </c>
      <c r="B738" s="22">
        <v>948.5</v>
      </c>
      <c r="D738">
        <f t="shared" si="22"/>
        <v>1.2651470666737866E-2</v>
      </c>
      <c r="F738" s="21" t="s">
        <v>692</v>
      </c>
      <c r="G738" s="22">
        <v>21997.7</v>
      </c>
      <c r="H738">
        <f t="shared" si="23"/>
        <v>-1.5132724741109523E-2</v>
      </c>
    </row>
    <row r="739" spans="1:8" x14ac:dyDescent="0.45">
      <c r="A739" s="23">
        <v>45629</v>
      </c>
      <c r="B739" s="22">
        <v>932.9</v>
      </c>
      <c r="D739">
        <f t="shared" si="22"/>
        <v>-1.6447021613073296E-2</v>
      </c>
      <c r="F739" s="21" t="s">
        <v>693</v>
      </c>
      <c r="G739" s="22">
        <v>22146.65</v>
      </c>
      <c r="H739">
        <f t="shared" si="23"/>
        <v>6.7711624397096392E-3</v>
      </c>
    </row>
    <row r="740" spans="1:8" x14ac:dyDescent="0.45">
      <c r="A740" s="21" t="s">
        <v>692</v>
      </c>
      <c r="B740" s="22">
        <v>914</v>
      </c>
      <c r="D740">
        <f t="shared" si="22"/>
        <v>-2.0259406152856659E-2</v>
      </c>
      <c r="F740" s="21" t="s">
        <v>694</v>
      </c>
      <c r="G740" s="22">
        <v>22023.35</v>
      </c>
      <c r="H740">
        <f t="shared" si="23"/>
        <v>-5.5674334493028476E-3</v>
      </c>
    </row>
    <row r="741" spans="1:8" x14ac:dyDescent="0.45">
      <c r="A741" s="21" t="s">
        <v>693</v>
      </c>
      <c r="B741" s="22">
        <v>923.75</v>
      </c>
      <c r="D741">
        <f t="shared" si="22"/>
        <v>1.0667396061269147E-2</v>
      </c>
      <c r="F741" s="21" t="s">
        <v>695</v>
      </c>
      <c r="G741" s="22">
        <v>22055.7</v>
      </c>
      <c r="H741">
        <f t="shared" si="23"/>
        <v>1.468895513171347E-3</v>
      </c>
    </row>
    <row r="742" spans="1:8" x14ac:dyDescent="0.45">
      <c r="A742" s="21" t="s">
        <v>694</v>
      </c>
      <c r="B742" s="22">
        <v>910.05</v>
      </c>
      <c r="D742">
        <f t="shared" si="22"/>
        <v>-1.4830852503382999E-2</v>
      </c>
      <c r="F742" s="21" t="s">
        <v>696</v>
      </c>
      <c r="G742" s="22">
        <v>21817.45</v>
      </c>
      <c r="H742">
        <f t="shared" si="23"/>
        <v>-1.080219625765675E-2</v>
      </c>
    </row>
    <row r="743" spans="1:8" x14ac:dyDescent="0.45">
      <c r="A743" s="21" t="s">
        <v>695</v>
      </c>
      <c r="B743" s="22">
        <v>911.35</v>
      </c>
      <c r="D743">
        <f t="shared" si="22"/>
        <v>1.4284929399484296E-3</v>
      </c>
      <c r="F743" s="21" t="s">
        <v>697</v>
      </c>
      <c r="G743" s="22">
        <v>21839.1</v>
      </c>
      <c r="H743">
        <f t="shared" si="23"/>
        <v>9.9232495089929458E-4</v>
      </c>
    </row>
    <row r="744" spans="1:8" x14ac:dyDescent="0.45">
      <c r="A744" s="21" t="s">
        <v>696</v>
      </c>
      <c r="B744" s="22">
        <v>899.6</v>
      </c>
      <c r="D744">
        <f t="shared" si="22"/>
        <v>-1.2892960991935041E-2</v>
      </c>
      <c r="F744" s="21" t="s">
        <v>698</v>
      </c>
      <c r="G744" s="22">
        <v>22011.95</v>
      </c>
      <c r="H744">
        <f t="shared" si="23"/>
        <v>7.9147034447391244E-3</v>
      </c>
    </row>
    <row r="745" spans="1:8" x14ac:dyDescent="0.45">
      <c r="A745" s="21" t="s">
        <v>697</v>
      </c>
      <c r="B745" s="22">
        <v>890.55</v>
      </c>
      <c r="D745">
        <f t="shared" si="22"/>
        <v>-1.0060026678523864E-2</v>
      </c>
      <c r="F745" s="21" t="s">
        <v>699</v>
      </c>
      <c r="G745" s="22">
        <v>22096.75</v>
      </c>
      <c r="H745">
        <f t="shared" si="23"/>
        <v>3.8524528721898457E-3</v>
      </c>
    </row>
    <row r="746" spans="1:8" x14ac:dyDescent="0.45">
      <c r="A746" s="21" t="s">
        <v>698</v>
      </c>
      <c r="B746" s="22">
        <v>892.65</v>
      </c>
      <c r="D746">
        <f t="shared" si="22"/>
        <v>2.3580933131211305E-3</v>
      </c>
      <c r="F746" s="21" t="s">
        <v>700</v>
      </c>
      <c r="G746" s="22">
        <v>22004.7</v>
      </c>
      <c r="H746">
        <f t="shared" si="23"/>
        <v>-4.1657709844207533E-3</v>
      </c>
    </row>
    <row r="747" spans="1:8" x14ac:dyDescent="0.45">
      <c r="A747" s="21" t="s">
        <v>699</v>
      </c>
      <c r="B747" s="22">
        <v>887.8</v>
      </c>
      <c r="D747">
        <f t="shared" si="22"/>
        <v>-5.4332605164398393E-3</v>
      </c>
      <c r="F747" s="21" t="s">
        <v>701</v>
      </c>
      <c r="G747" s="22">
        <v>22123.65</v>
      </c>
      <c r="H747">
        <f t="shared" si="23"/>
        <v>5.4056633355601636E-3</v>
      </c>
    </row>
    <row r="748" spans="1:8" x14ac:dyDescent="0.45">
      <c r="A748" s="21" t="s">
        <v>700</v>
      </c>
      <c r="B748" s="22">
        <v>880.4</v>
      </c>
      <c r="D748">
        <f t="shared" si="22"/>
        <v>-8.3352106330254316E-3</v>
      </c>
      <c r="F748" s="21" t="s">
        <v>702</v>
      </c>
      <c r="G748" s="22">
        <v>22326.9</v>
      </c>
      <c r="H748">
        <f t="shared" si="23"/>
        <v>9.1870012407536724E-3</v>
      </c>
    </row>
    <row r="749" spans="1:8" x14ac:dyDescent="0.45">
      <c r="A749" s="21" t="s">
        <v>701</v>
      </c>
      <c r="B749" s="22">
        <v>863.1</v>
      </c>
      <c r="D749">
        <f t="shared" si="22"/>
        <v>-1.9650159018627846E-2</v>
      </c>
      <c r="F749" s="23">
        <v>45295</v>
      </c>
      <c r="G749" s="22">
        <v>22462</v>
      </c>
      <c r="H749">
        <f t="shared" si="23"/>
        <v>6.0509967796693017E-3</v>
      </c>
    </row>
    <row r="750" spans="1:8" x14ac:dyDescent="0.45">
      <c r="A750" s="21" t="s">
        <v>702</v>
      </c>
      <c r="B750" s="22">
        <v>870.45</v>
      </c>
      <c r="D750">
        <f t="shared" si="22"/>
        <v>8.5158150851581769E-3</v>
      </c>
      <c r="F750" s="23">
        <v>45326</v>
      </c>
      <c r="G750" s="22">
        <v>22453.3</v>
      </c>
      <c r="H750">
        <f t="shared" si="23"/>
        <v>-3.8732080847657055E-4</v>
      </c>
    </row>
    <row r="751" spans="1:8" x14ac:dyDescent="0.45">
      <c r="A751" s="23">
        <v>45295</v>
      </c>
      <c r="B751" s="22">
        <v>880</v>
      </c>
      <c r="D751">
        <f t="shared" si="22"/>
        <v>1.0971336664943368E-2</v>
      </c>
      <c r="F751" s="23">
        <v>45355</v>
      </c>
      <c r="G751" s="22">
        <v>22434.65</v>
      </c>
      <c r="H751">
        <f t="shared" si="23"/>
        <v>-8.3061287204989106E-4</v>
      </c>
    </row>
    <row r="752" spans="1:8" x14ac:dyDescent="0.45">
      <c r="A752" s="23">
        <v>45326</v>
      </c>
      <c r="B752" s="22">
        <v>887.4</v>
      </c>
      <c r="D752">
        <f t="shared" si="22"/>
        <v>8.4090909090908834E-3</v>
      </c>
      <c r="F752" s="23">
        <v>45386</v>
      </c>
      <c r="G752" s="22">
        <v>22514.65</v>
      </c>
      <c r="H752">
        <f t="shared" si="23"/>
        <v>3.5659125504520907E-3</v>
      </c>
    </row>
    <row r="753" spans="1:8" x14ac:dyDescent="0.45">
      <c r="A753" s="23">
        <v>45355</v>
      </c>
      <c r="B753" s="22">
        <v>899.5</v>
      </c>
      <c r="D753">
        <f t="shared" si="22"/>
        <v>1.3635339193148549E-2</v>
      </c>
      <c r="F753" s="23">
        <v>45416</v>
      </c>
      <c r="G753" s="22">
        <v>22513.7</v>
      </c>
      <c r="H753">
        <f t="shared" si="23"/>
        <v>-4.2194748752511256E-5</v>
      </c>
    </row>
    <row r="754" spans="1:8" x14ac:dyDescent="0.45">
      <c r="A754" s="23">
        <v>45386</v>
      </c>
      <c r="B754" s="22">
        <v>894.8</v>
      </c>
      <c r="D754">
        <f t="shared" si="22"/>
        <v>-5.225125069483097E-3</v>
      </c>
      <c r="F754" s="23">
        <v>45508</v>
      </c>
      <c r="G754" s="22">
        <v>22666.3</v>
      </c>
      <c r="H754">
        <f t="shared" si="23"/>
        <v>6.7780951154185467E-3</v>
      </c>
    </row>
    <row r="755" spans="1:8" x14ac:dyDescent="0.45">
      <c r="A755" s="23">
        <v>45416</v>
      </c>
      <c r="B755" s="22">
        <v>893.2</v>
      </c>
      <c r="D755">
        <f t="shared" si="22"/>
        <v>-1.7881090746534522E-3</v>
      </c>
      <c r="F755" s="23">
        <v>45539</v>
      </c>
      <c r="G755" s="22">
        <v>22642.75</v>
      </c>
      <c r="H755">
        <f t="shared" si="23"/>
        <v>-1.0389873953843051E-3</v>
      </c>
    </row>
    <row r="756" spans="1:8" x14ac:dyDescent="0.45">
      <c r="A756" s="23">
        <v>45508</v>
      </c>
      <c r="B756" s="22">
        <v>877.85</v>
      </c>
      <c r="D756">
        <f t="shared" si="22"/>
        <v>-1.7185400806090486E-2</v>
      </c>
      <c r="F756" s="23">
        <v>45569</v>
      </c>
      <c r="G756" s="22">
        <v>22753.8</v>
      </c>
      <c r="H756">
        <f t="shared" si="23"/>
        <v>4.9044396109129531E-3</v>
      </c>
    </row>
    <row r="757" spans="1:8" x14ac:dyDescent="0.45">
      <c r="A757" s="23">
        <v>45539</v>
      </c>
      <c r="B757" s="22">
        <v>874.35</v>
      </c>
      <c r="D757">
        <f t="shared" si="22"/>
        <v>-3.987013726718688E-3</v>
      </c>
      <c r="F757" s="23">
        <v>45630</v>
      </c>
      <c r="G757" s="22">
        <v>22519.4</v>
      </c>
      <c r="H757">
        <f t="shared" si="23"/>
        <v>-1.030157600049213E-2</v>
      </c>
    </row>
    <row r="758" spans="1:8" x14ac:dyDescent="0.45">
      <c r="A758" s="23">
        <v>45569</v>
      </c>
      <c r="B758" s="22">
        <v>877.8</v>
      </c>
      <c r="D758">
        <f t="shared" si="22"/>
        <v>3.9457882998798323E-3</v>
      </c>
      <c r="F758" s="21" t="s">
        <v>703</v>
      </c>
      <c r="G758" s="22">
        <v>22272.5</v>
      </c>
      <c r="H758">
        <f t="shared" si="23"/>
        <v>-1.0963880032327745E-2</v>
      </c>
    </row>
    <row r="759" spans="1:8" x14ac:dyDescent="0.45">
      <c r="A759" s="23">
        <v>45630</v>
      </c>
      <c r="B759" s="22">
        <v>866.05</v>
      </c>
      <c r="D759">
        <f t="shared" si="22"/>
        <v>-1.3385737069947596E-2</v>
      </c>
      <c r="F759" s="21" t="s">
        <v>704</v>
      </c>
      <c r="G759" s="22">
        <v>22147.9</v>
      </c>
      <c r="H759">
        <f t="shared" si="23"/>
        <v>-5.594342799416255E-3</v>
      </c>
    </row>
    <row r="760" spans="1:8" x14ac:dyDescent="0.45">
      <c r="A760" s="21" t="s">
        <v>703</v>
      </c>
      <c r="B760" s="22">
        <v>864.8</v>
      </c>
      <c r="D760">
        <f t="shared" si="22"/>
        <v>-1.4433346804457018E-3</v>
      </c>
      <c r="F760" s="21" t="s">
        <v>705</v>
      </c>
      <c r="G760" s="22">
        <v>21995.85</v>
      </c>
      <c r="H760">
        <f t="shared" si="23"/>
        <v>-6.865210697176838E-3</v>
      </c>
    </row>
    <row r="761" spans="1:8" x14ac:dyDescent="0.45">
      <c r="A761" s="21" t="s">
        <v>704</v>
      </c>
      <c r="B761" s="22">
        <v>854.55</v>
      </c>
      <c r="D761">
        <f t="shared" si="22"/>
        <v>-1.185245143385754E-2</v>
      </c>
      <c r="F761" s="21" t="s">
        <v>706</v>
      </c>
      <c r="G761" s="22">
        <v>22147</v>
      </c>
      <c r="H761">
        <f t="shared" si="23"/>
        <v>6.8717508075387618E-3</v>
      </c>
    </row>
    <row r="762" spans="1:8" x14ac:dyDescent="0.45">
      <c r="A762" s="21" t="s">
        <v>705</v>
      </c>
      <c r="B762" s="22">
        <v>846.3</v>
      </c>
      <c r="D762">
        <f t="shared" si="22"/>
        <v>-9.6542039670001762E-3</v>
      </c>
      <c r="F762" s="21" t="s">
        <v>707</v>
      </c>
      <c r="G762" s="22">
        <v>22336.400000000001</v>
      </c>
      <c r="H762">
        <f t="shared" si="23"/>
        <v>8.5519483451483927E-3</v>
      </c>
    </row>
    <row r="763" spans="1:8" x14ac:dyDescent="0.45">
      <c r="A763" s="21" t="s">
        <v>706</v>
      </c>
      <c r="B763" s="22">
        <v>880.1</v>
      </c>
      <c r="D763">
        <f t="shared" si="22"/>
        <v>3.9938556067588407E-2</v>
      </c>
      <c r="F763" s="21" t="s">
        <v>708</v>
      </c>
      <c r="G763" s="22">
        <v>22368</v>
      </c>
      <c r="H763">
        <f t="shared" si="23"/>
        <v>1.4147311115487967E-3</v>
      </c>
    </row>
    <row r="764" spans="1:8" x14ac:dyDescent="0.45">
      <c r="A764" s="21" t="s">
        <v>707</v>
      </c>
      <c r="B764" s="22">
        <v>851.45</v>
      </c>
      <c r="D764">
        <f t="shared" si="22"/>
        <v>-3.2553118963754089E-2</v>
      </c>
      <c r="F764" s="21" t="s">
        <v>709</v>
      </c>
      <c r="G764" s="22">
        <v>22402.400000000001</v>
      </c>
      <c r="H764">
        <f t="shared" si="23"/>
        <v>1.5379113018598647E-3</v>
      </c>
    </row>
    <row r="765" spans="1:8" x14ac:dyDescent="0.45">
      <c r="A765" s="21" t="s">
        <v>708</v>
      </c>
      <c r="B765" s="22">
        <v>842.85</v>
      </c>
      <c r="D765">
        <f t="shared" si="22"/>
        <v>-1.01004169358154E-2</v>
      </c>
      <c r="F765" s="21" t="s">
        <v>710</v>
      </c>
      <c r="G765" s="22">
        <v>22570.35</v>
      </c>
      <c r="H765">
        <f t="shared" si="23"/>
        <v>7.4969646109344125E-3</v>
      </c>
    </row>
    <row r="766" spans="1:8" x14ac:dyDescent="0.45">
      <c r="A766" s="21" t="s">
        <v>709</v>
      </c>
      <c r="B766" s="22">
        <v>839.95</v>
      </c>
      <c r="D766">
        <f t="shared" si="22"/>
        <v>-3.4407071246366225E-3</v>
      </c>
      <c r="F766" s="21" t="s">
        <v>711</v>
      </c>
      <c r="G766" s="22">
        <v>22419.95</v>
      </c>
      <c r="H766">
        <f t="shared" si="23"/>
        <v>-6.663609558557923E-3</v>
      </c>
    </row>
    <row r="767" spans="1:8" x14ac:dyDescent="0.45">
      <c r="A767" s="21" t="s">
        <v>710</v>
      </c>
      <c r="B767" s="22">
        <v>839.15</v>
      </c>
      <c r="D767">
        <f t="shared" si="22"/>
        <v>-9.5243764509800365E-4</v>
      </c>
      <c r="F767" s="21" t="s">
        <v>712</v>
      </c>
      <c r="G767" s="22">
        <v>22643.4</v>
      </c>
      <c r="H767">
        <f t="shared" si="23"/>
        <v>9.9665699522077759E-3</v>
      </c>
    </row>
    <row r="768" spans="1:8" x14ac:dyDescent="0.45">
      <c r="A768" s="21" t="s">
        <v>711</v>
      </c>
      <c r="B768" s="22">
        <v>840.55</v>
      </c>
      <c r="D768">
        <f t="shared" si="22"/>
        <v>1.6683548829172106E-3</v>
      </c>
      <c r="F768" s="21" t="s">
        <v>713</v>
      </c>
      <c r="G768" s="22">
        <v>22604.85</v>
      </c>
      <c r="H768">
        <f t="shared" si="23"/>
        <v>-1.7024828426827645E-3</v>
      </c>
    </row>
    <row r="769" spans="1:8" x14ac:dyDescent="0.45">
      <c r="A769" s="21" t="s">
        <v>712</v>
      </c>
      <c r="B769" s="22">
        <v>831.4</v>
      </c>
      <c r="D769">
        <f t="shared" si="22"/>
        <v>-1.08857295818214E-2</v>
      </c>
      <c r="F769" s="23">
        <v>45327</v>
      </c>
      <c r="G769" s="22">
        <v>22648.2</v>
      </c>
      <c r="H769">
        <f t="shared" si="23"/>
        <v>1.9177300446586545E-3</v>
      </c>
    </row>
    <row r="770" spans="1:8" x14ac:dyDescent="0.45">
      <c r="A770" s="21" t="s">
        <v>713</v>
      </c>
      <c r="B770" s="22">
        <v>832.55</v>
      </c>
      <c r="D770">
        <f t="shared" si="22"/>
        <v>1.3832090449843364E-3</v>
      </c>
      <c r="F770" s="23">
        <v>45356</v>
      </c>
      <c r="G770" s="22">
        <v>22475.85</v>
      </c>
      <c r="H770">
        <f t="shared" si="23"/>
        <v>-7.6098762815588958E-3</v>
      </c>
    </row>
    <row r="771" spans="1:8" x14ac:dyDescent="0.45">
      <c r="A771" s="23">
        <v>45327</v>
      </c>
      <c r="B771" s="22">
        <v>835.8</v>
      </c>
      <c r="D771">
        <f t="shared" si="22"/>
        <v>3.9036694492823256E-3</v>
      </c>
      <c r="F771" s="23">
        <v>45448</v>
      </c>
      <c r="G771" s="22">
        <v>22442.7</v>
      </c>
      <c r="H771">
        <f t="shared" si="23"/>
        <v>-1.4749164102802706E-3</v>
      </c>
    </row>
    <row r="772" spans="1:8" x14ac:dyDescent="0.45">
      <c r="A772" s="23">
        <v>45356</v>
      </c>
      <c r="B772" s="22">
        <v>834.65</v>
      </c>
      <c r="D772">
        <f t="shared" ref="D772:D835" si="24">(B772-B771)/B771</f>
        <v>-1.375927255324213E-3</v>
      </c>
      <c r="F772" s="23">
        <v>45478</v>
      </c>
      <c r="G772" s="22">
        <v>22302.5</v>
      </c>
      <c r="H772">
        <f t="shared" si="23"/>
        <v>-6.2470201891929545E-3</v>
      </c>
    </row>
    <row r="773" spans="1:8" x14ac:dyDescent="0.45">
      <c r="A773" s="23">
        <v>45448</v>
      </c>
      <c r="B773" s="22">
        <v>830.45</v>
      </c>
      <c r="D773">
        <f t="shared" si="24"/>
        <v>-5.0320493620079456E-3</v>
      </c>
      <c r="F773" s="23">
        <v>45509</v>
      </c>
      <c r="G773" s="22">
        <v>22302.5</v>
      </c>
      <c r="H773">
        <f t="shared" ref="H773:H836" si="25">(G773-G772)/G772</f>
        <v>0</v>
      </c>
    </row>
    <row r="774" spans="1:8" x14ac:dyDescent="0.45">
      <c r="A774" s="23">
        <v>45478</v>
      </c>
      <c r="B774" s="22">
        <v>809</v>
      </c>
      <c r="D774">
        <f t="shared" si="24"/>
        <v>-2.5829369618881381E-2</v>
      </c>
      <c r="F774" s="23">
        <v>45540</v>
      </c>
      <c r="G774" s="22">
        <v>21957.5</v>
      </c>
      <c r="H774">
        <f t="shared" si="25"/>
        <v>-1.5469117811904494E-2</v>
      </c>
    </row>
    <row r="775" spans="1:8" x14ac:dyDescent="0.45">
      <c r="A775" s="23">
        <v>45509</v>
      </c>
      <c r="B775" s="22">
        <v>803.8</v>
      </c>
      <c r="D775">
        <f t="shared" si="24"/>
        <v>-6.4276885043263853E-3</v>
      </c>
      <c r="F775" s="23">
        <v>45570</v>
      </c>
      <c r="G775" s="22">
        <v>22055.200000000001</v>
      </c>
      <c r="H775">
        <f t="shared" si="25"/>
        <v>4.4495047250370364E-3</v>
      </c>
    </row>
    <row r="776" spans="1:8" x14ac:dyDescent="0.45">
      <c r="A776" s="23">
        <v>45540</v>
      </c>
      <c r="B776" s="22">
        <v>794.7</v>
      </c>
      <c r="D776">
        <f t="shared" si="24"/>
        <v>-1.1321224185120564E-2</v>
      </c>
      <c r="F776" s="21" t="s">
        <v>714</v>
      </c>
      <c r="G776" s="22">
        <v>22104.05</v>
      </c>
      <c r="H776">
        <f t="shared" si="25"/>
        <v>2.2148971671079177E-3</v>
      </c>
    </row>
    <row r="777" spans="1:8" x14ac:dyDescent="0.45">
      <c r="A777" s="23">
        <v>45570</v>
      </c>
      <c r="B777" s="22">
        <v>788.75</v>
      </c>
      <c r="D777">
        <f t="shared" si="24"/>
        <v>-7.4871020510885178E-3</v>
      </c>
      <c r="F777" s="21" t="s">
        <v>715</v>
      </c>
      <c r="G777" s="22">
        <v>22217.85</v>
      </c>
      <c r="H777">
        <f t="shared" si="25"/>
        <v>5.1483777859713167E-3</v>
      </c>
    </row>
    <row r="778" spans="1:8" x14ac:dyDescent="0.45">
      <c r="A778" s="21" t="s">
        <v>714</v>
      </c>
      <c r="B778" s="22">
        <v>788.4</v>
      </c>
      <c r="D778">
        <f t="shared" si="24"/>
        <v>-4.4374009508719206E-4</v>
      </c>
      <c r="F778" s="21" t="s">
        <v>716</v>
      </c>
      <c r="G778" s="22">
        <v>22200.55</v>
      </c>
      <c r="H778">
        <f t="shared" si="25"/>
        <v>-7.7865320001707064E-4</v>
      </c>
    </row>
    <row r="779" spans="1:8" x14ac:dyDescent="0.45">
      <c r="A779" s="21" t="s">
        <v>715</v>
      </c>
      <c r="B779" s="22">
        <v>787.9</v>
      </c>
      <c r="D779">
        <f t="shared" si="24"/>
        <v>-6.3419583967529169E-4</v>
      </c>
      <c r="F779" s="21" t="s">
        <v>717</v>
      </c>
      <c r="G779" s="22">
        <v>22403.85</v>
      </c>
      <c r="H779">
        <f t="shared" si="25"/>
        <v>9.1574307843724275E-3</v>
      </c>
    </row>
    <row r="780" spans="1:8" x14ac:dyDescent="0.45">
      <c r="A780" s="21" t="s">
        <v>716</v>
      </c>
      <c r="B780" s="22">
        <v>792.25</v>
      </c>
      <c r="D780">
        <f t="shared" si="24"/>
        <v>5.5210052037060831E-3</v>
      </c>
      <c r="F780" s="21" t="s">
        <v>718</v>
      </c>
      <c r="G780" s="22">
        <v>22466.1</v>
      </c>
      <c r="H780">
        <f t="shared" si="25"/>
        <v>2.778540295529563E-3</v>
      </c>
    </row>
    <row r="781" spans="1:8" x14ac:dyDescent="0.45">
      <c r="A781" s="21" t="s">
        <v>717</v>
      </c>
      <c r="B781" s="22">
        <v>784.25</v>
      </c>
      <c r="D781">
        <f t="shared" si="24"/>
        <v>-1.0097822656989587E-2</v>
      </c>
      <c r="F781" s="21" t="s">
        <v>719</v>
      </c>
      <c r="G781" s="22">
        <v>22502</v>
      </c>
      <c r="H781">
        <f t="shared" si="25"/>
        <v>1.5979631533733695E-3</v>
      </c>
    </row>
    <row r="782" spans="1:8" x14ac:dyDescent="0.45">
      <c r="A782" s="21" t="s">
        <v>718</v>
      </c>
      <c r="B782" s="22">
        <v>790.3</v>
      </c>
      <c r="D782">
        <f t="shared" si="24"/>
        <v>7.7143767931143825E-3</v>
      </c>
      <c r="F782" s="21" t="s">
        <v>720</v>
      </c>
      <c r="G782" s="22">
        <v>22529.05</v>
      </c>
      <c r="H782">
        <f t="shared" si="25"/>
        <v>1.2021153675228545E-3</v>
      </c>
    </row>
    <row r="783" spans="1:8" x14ac:dyDescent="0.45">
      <c r="A783" s="21" t="s">
        <v>719</v>
      </c>
      <c r="B783" s="22">
        <v>784.35</v>
      </c>
      <c r="D783">
        <f t="shared" si="24"/>
        <v>-7.5287865367581076E-3</v>
      </c>
      <c r="F783" s="21" t="s">
        <v>721</v>
      </c>
      <c r="G783" s="22">
        <v>22597.8</v>
      </c>
      <c r="H783">
        <f t="shared" si="25"/>
        <v>3.0516155807723809E-3</v>
      </c>
    </row>
    <row r="784" spans="1:8" x14ac:dyDescent="0.45">
      <c r="A784" s="21" t="s">
        <v>720</v>
      </c>
      <c r="B784" s="22">
        <v>785.1</v>
      </c>
      <c r="D784">
        <f t="shared" si="24"/>
        <v>9.5620577548288386E-4</v>
      </c>
      <c r="F784" s="21" t="s">
        <v>722</v>
      </c>
      <c r="G784" s="22">
        <v>22967.65</v>
      </c>
      <c r="H784">
        <f t="shared" si="25"/>
        <v>1.6366637460283842E-2</v>
      </c>
    </row>
    <row r="785" spans="1:8" x14ac:dyDescent="0.45">
      <c r="A785" s="21" t="s">
        <v>721</v>
      </c>
      <c r="B785" s="22">
        <v>778.1</v>
      </c>
      <c r="D785">
        <f t="shared" si="24"/>
        <v>-8.9160616481976807E-3</v>
      </c>
      <c r="F785" s="21" t="s">
        <v>723</v>
      </c>
      <c r="G785" s="22">
        <v>22957.1</v>
      </c>
      <c r="H785">
        <f t="shared" si="25"/>
        <v>-4.5934172629776704E-4</v>
      </c>
    </row>
    <row r="786" spans="1:8" x14ac:dyDescent="0.45">
      <c r="A786" s="21" t="s">
        <v>722</v>
      </c>
      <c r="B786" s="22">
        <v>772.15</v>
      </c>
      <c r="D786">
        <f t="shared" si="24"/>
        <v>-7.6468320267318408E-3</v>
      </c>
      <c r="F786" s="21" t="s">
        <v>724</v>
      </c>
      <c r="G786" s="22">
        <v>22932.45</v>
      </c>
      <c r="H786">
        <f t="shared" si="25"/>
        <v>-1.0737418924863253E-3</v>
      </c>
    </row>
    <row r="787" spans="1:8" x14ac:dyDescent="0.45">
      <c r="A787" s="21" t="s">
        <v>723</v>
      </c>
      <c r="B787" s="22">
        <v>762.9</v>
      </c>
      <c r="D787">
        <f t="shared" si="24"/>
        <v>-1.197953765460079E-2</v>
      </c>
      <c r="F787" s="21" t="s">
        <v>725</v>
      </c>
      <c r="G787" s="22">
        <v>22888.15</v>
      </c>
      <c r="H787">
        <f t="shared" si="25"/>
        <v>-1.9317604529825322E-3</v>
      </c>
    </row>
    <row r="788" spans="1:8" x14ac:dyDescent="0.45">
      <c r="A788" s="21" t="s">
        <v>724</v>
      </c>
      <c r="B788" s="22">
        <v>762.95</v>
      </c>
      <c r="D788">
        <f t="shared" si="24"/>
        <v>6.5539389172982317E-5</v>
      </c>
      <c r="F788" s="21" t="s">
        <v>726</v>
      </c>
      <c r="G788" s="22">
        <v>22704.7</v>
      </c>
      <c r="H788">
        <f t="shared" si="25"/>
        <v>-8.0150645639774608E-3</v>
      </c>
    </row>
    <row r="789" spans="1:8" x14ac:dyDescent="0.45">
      <c r="A789" s="21" t="s">
        <v>725</v>
      </c>
      <c r="B789" s="22">
        <v>761.5</v>
      </c>
      <c r="D789">
        <f t="shared" si="24"/>
        <v>-1.900517727242998E-3</v>
      </c>
      <c r="F789" s="21" t="s">
        <v>727</v>
      </c>
      <c r="G789" s="22">
        <v>22488.65</v>
      </c>
      <c r="H789">
        <f t="shared" si="25"/>
        <v>-9.5156509445180632E-3</v>
      </c>
    </row>
    <row r="790" spans="1:8" x14ac:dyDescent="0.45">
      <c r="A790" s="21" t="s">
        <v>726</v>
      </c>
      <c r="B790" s="22">
        <v>761.35</v>
      </c>
      <c r="D790">
        <f t="shared" si="24"/>
        <v>-1.9697964543660836E-4</v>
      </c>
      <c r="F790" s="21" t="s">
        <v>728</v>
      </c>
      <c r="G790" s="22">
        <v>22530.7</v>
      </c>
      <c r="H790">
        <f t="shared" si="25"/>
        <v>1.869832115311469E-3</v>
      </c>
    </row>
    <row r="791" spans="1:8" x14ac:dyDescent="0.45">
      <c r="A791" s="21" t="s">
        <v>727</v>
      </c>
      <c r="B791" s="22">
        <v>763.45</v>
      </c>
      <c r="D791">
        <f t="shared" si="24"/>
        <v>2.758258356866123E-3</v>
      </c>
      <c r="F791" s="23">
        <v>45357</v>
      </c>
      <c r="G791" s="22">
        <v>23263.9</v>
      </c>
      <c r="H791">
        <f t="shared" si="25"/>
        <v>3.2542264554585552E-2</v>
      </c>
    </row>
    <row r="792" spans="1:8" x14ac:dyDescent="0.45">
      <c r="A792" s="21" t="s">
        <v>728</v>
      </c>
      <c r="B792" s="22">
        <v>762.65</v>
      </c>
      <c r="D792">
        <f t="shared" si="24"/>
        <v>-1.0478747789640032E-3</v>
      </c>
      <c r="F792" s="23">
        <v>45388</v>
      </c>
      <c r="G792" s="22">
        <v>21884.5</v>
      </c>
      <c r="H792">
        <f t="shared" si="25"/>
        <v>-5.9293583620975046E-2</v>
      </c>
    </row>
    <row r="793" spans="1:8" x14ac:dyDescent="0.45">
      <c r="A793" s="23">
        <v>45357</v>
      </c>
      <c r="B793" s="22">
        <v>773.95</v>
      </c>
      <c r="D793">
        <f t="shared" si="24"/>
        <v>1.4816757359208114E-2</v>
      </c>
      <c r="F793" s="23">
        <v>45418</v>
      </c>
      <c r="G793" s="22">
        <v>22620.35</v>
      </c>
      <c r="H793">
        <f t="shared" si="25"/>
        <v>3.3624254609426696E-2</v>
      </c>
    </row>
    <row r="794" spans="1:8" x14ac:dyDescent="0.45">
      <c r="A794" s="23">
        <v>45388</v>
      </c>
      <c r="B794" s="22">
        <v>740.6</v>
      </c>
      <c r="D794">
        <f t="shared" si="24"/>
        <v>-4.3090638930163475E-2</v>
      </c>
      <c r="F794" s="23">
        <v>45449</v>
      </c>
      <c r="G794" s="22">
        <v>22821.4</v>
      </c>
      <c r="H794">
        <f t="shared" si="25"/>
        <v>8.8880145532674298E-3</v>
      </c>
    </row>
    <row r="795" spans="1:8" x14ac:dyDescent="0.45">
      <c r="A795" s="23">
        <v>45418</v>
      </c>
      <c r="B795" s="22">
        <v>774.75</v>
      </c>
      <c r="D795">
        <f t="shared" si="24"/>
        <v>4.6111261139616493E-2</v>
      </c>
      <c r="F795" s="23">
        <v>45479</v>
      </c>
      <c r="G795" s="22">
        <v>23290.15</v>
      </c>
      <c r="H795">
        <f t="shared" si="25"/>
        <v>2.0539931818380992E-2</v>
      </c>
    </row>
    <row r="796" spans="1:8" x14ac:dyDescent="0.45">
      <c r="A796" s="23">
        <v>45449</v>
      </c>
      <c r="B796" s="22">
        <v>771.7</v>
      </c>
      <c r="D796">
        <f t="shared" si="24"/>
        <v>-3.9367537915456011E-3</v>
      </c>
      <c r="F796" s="23">
        <v>45571</v>
      </c>
      <c r="G796" s="22">
        <v>23259.200000000001</v>
      </c>
      <c r="H796">
        <f t="shared" si="25"/>
        <v>-1.3288879633665187E-3</v>
      </c>
    </row>
    <row r="797" spans="1:8" x14ac:dyDescent="0.45">
      <c r="A797" s="23">
        <v>45479</v>
      </c>
      <c r="B797" s="22">
        <v>769.85</v>
      </c>
      <c r="D797">
        <f t="shared" si="24"/>
        <v>-2.3973046520668947E-3</v>
      </c>
      <c r="F797" s="23">
        <v>45602</v>
      </c>
      <c r="G797" s="22">
        <v>23264.85</v>
      </c>
      <c r="H797">
        <f t="shared" si="25"/>
        <v>2.4291463162954088E-4</v>
      </c>
    </row>
    <row r="798" spans="1:8" x14ac:dyDescent="0.45">
      <c r="A798" s="23">
        <v>45571</v>
      </c>
      <c r="B798" s="22">
        <v>772.5</v>
      </c>
      <c r="D798">
        <f t="shared" si="24"/>
        <v>3.4422290056504217E-3</v>
      </c>
      <c r="F798" s="23">
        <v>45632</v>
      </c>
      <c r="G798" s="22">
        <v>23322.95</v>
      </c>
      <c r="H798">
        <f t="shared" si="25"/>
        <v>2.4973296625597063E-3</v>
      </c>
    </row>
    <row r="799" spans="1:8" x14ac:dyDescent="0.45">
      <c r="A799" s="23">
        <v>45602</v>
      </c>
      <c r="B799" s="22">
        <v>776.9</v>
      </c>
      <c r="D799">
        <f t="shared" si="24"/>
        <v>5.69579288025887E-3</v>
      </c>
      <c r="F799" s="21" t="s">
        <v>729</v>
      </c>
      <c r="G799" s="22">
        <v>23398.9</v>
      </c>
      <c r="H799">
        <f t="shared" si="25"/>
        <v>3.2564491198583683E-3</v>
      </c>
    </row>
    <row r="800" spans="1:8" x14ac:dyDescent="0.45">
      <c r="A800" s="23">
        <v>45632</v>
      </c>
      <c r="B800" s="22">
        <v>781.4</v>
      </c>
      <c r="D800">
        <f t="shared" si="24"/>
        <v>5.7922512549877722E-3</v>
      </c>
      <c r="F800" s="21" t="s">
        <v>730</v>
      </c>
      <c r="G800" s="22">
        <v>23465.599999999999</v>
      </c>
      <c r="H800">
        <f t="shared" si="25"/>
        <v>2.8505613511745033E-3</v>
      </c>
    </row>
    <row r="801" spans="1:8" x14ac:dyDescent="0.45">
      <c r="A801" s="21" t="s">
        <v>729</v>
      </c>
      <c r="B801" s="22">
        <v>783.9</v>
      </c>
      <c r="D801">
        <f t="shared" si="24"/>
        <v>3.1993857179421553E-3</v>
      </c>
      <c r="F801" s="21" t="s">
        <v>731</v>
      </c>
      <c r="G801" s="22">
        <v>23557.9</v>
      </c>
      <c r="H801">
        <f t="shared" si="25"/>
        <v>3.9334174280650364E-3</v>
      </c>
    </row>
    <row r="802" spans="1:8" x14ac:dyDescent="0.45">
      <c r="A802" s="21" t="s">
        <v>730</v>
      </c>
      <c r="B802" s="22">
        <v>788.1</v>
      </c>
      <c r="D802">
        <f t="shared" si="24"/>
        <v>5.3578262533486992E-3</v>
      </c>
      <c r="F802" s="21" t="s">
        <v>732</v>
      </c>
      <c r="G802" s="22">
        <v>23516</v>
      </c>
      <c r="H802">
        <f t="shared" si="25"/>
        <v>-1.7785965642099445E-3</v>
      </c>
    </row>
    <row r="803" spans="1:8" x14ac:dyDescent="0.45">
      <c r="A803" s="21" t="s">
        <v>731</v>
      </c>
      <c r="B803" s="22">
        <v>791.45</v>
      </c>
      <c r="D803">
        <f t="shared" si="24"/>
        <v>4.2507296028423073E-3</v>
      </c>
      <c r="F803" s="21" t="s">
        <v>733</v>
      </c>
      <c r="G803" s="22">
        <v>23567</v>
      </c>
      <c r="H803">
        <f t="shared" si="25"/>
        <v>2.1687361796223848E-3</v>
      </c>
    </row>
    <row r="804" spans="1:8" x14ac:dyDescent="0.45">
      <c r="A804" s="21" t="s">
        <v>732</v>
      </c>
      <c r="B804" s="22">
        <v>782.15</v>
      </c>
      <c r="D804">
        <f t="shared" si="24"/>
        <v>-1.1750584370459369E-2</v>
      </c>
      <c r="F804" s="21" t="s">
        <v>734</v>
      </c>
      <c r="G804" s="22">
        <v>23501.1</v>
      </c>
      <c r="H804">
        <f t="shared" si="25"/>
        <v>-2.7962829380065962E-3</v>
      </c>
    </row>
    <row r="805" spans="1:8" x14ac:dyDescent="0.45">
      <c r="A805" s="21" t="s">
        <v>733</v>
      </c>
      <c r="B805" s="22">
        <v>781.85</v>
      </c>
      <c r="D805">
        <f t="shared" si="24"/>
        <v>-3.8355814102148506E-4</v>
      </c>
      <c r="F805" s="21" t="s">
        <v>735</v>
      </c>
      <c r="G805" s="22">
        <v>23537.85</v>
      </c>
      <c r="H805">
        <f t="shared" si="25"/>
        <v>1.5637565901170584E-3</v>
      </c>
    </row>
    <row r="806" spans="1:8" x14ac:dyDescent="0.45">
      <c r="A806" s="21" t="s">
        <v>734</v>
      </c>
      <c r="B806" s="22">
        <v>778.75</v>
      </c>
      <c r="D806">
        <f t="shared" si="24"/>
        <v>-3.9649549146255963E-3</v>
      </c>
      <c r="F806" s="21" t="s">
        <v>736</v>
      </c>
      <c r="G806" s="22">
        <v>23721.3</v>
      </c>
      <c r="H806">
        <f t="shared" si="25"/>
        <v>7.7938299377386102E-3</v>
      </c>
    </row>
    <row r="807" spans="1:8" x14ac:dyDescent="0.45">
      <c r="A807" s="21" t="s">
        <v>735</v>
      </c>
      <c r="B807" s="22">
        <v>773.95</v>
      </c>
      <c r="D807">
        <f t="shared" si="24"/>
        <v>-6.1637239165328473E-3</v>
      </c>
      <c r="F807" s="21" t="s">
        <v>737</v>
      </c>
      <c r="G807" s="22">
        <v>23868.799999999999</v>
      </c>
      <c r="H807">
        <f t="shared" si="25"/>
        <v>6.2180403266262809E-3</v>
      </c>
    </row>
    <row r="808" spans="1:8" x14ac:dyDescent="0.45">
      <c r="A808" s="21" t="s">
        <v>736</v>
      </c>
      <c r="B808" s="22">
        <v>771.55</v>
      </c>
      <c r="D808">
        <f t="shared" si="24"/>
        <v>-3.1009755152142785E-3</v>
      </c>
      <c r="F808" s="21" t="s">
        <v>738</v>
      </c>
      <c r="G808" s="22">
        <v>24044.5</v>
      </c>
      <c r="H808">
        <f t="shared" si="25"/>
        <v>7.3610738704920535E-3</v>
      </c>
    </row>
    <row r="809" spans="1:8" x14ac:dyDescent="0.45">
      <c r="A809" s="21" t="s">
        <v>737</v>
      </c>
      <c r="B809" s="22">
        <v>769.65</v>
      </c>
      <c r="D809">
        <f t="shared" si="24"/>
        <v>-2.4625753353638485E-3</v>
      </c>
      <c r="F809" s="21" t="s">
        <v>739</v>
      </c>
      <c r="G809" s="22">
        <v>24010.6</v>
      </c>
      <c r="H809">
        <f t="shared" si="25"/>
        <v>-1.409885836677887E-3</v>
      </c>
    </row>
    <row r="810" spans="1:8" x14ac:dyDescent="0.45">
      <c r="A810" s="21" t="s">
        <v>738</v>
      </c>
      <c r="B810" s="22">
        <v>766.7</v>
      </c>
      <c r="D810">
        <f t="shared" si="24"/>
        <v>-3.8329110634703202E-3</v>
      </c>
      <c r="F810" s="23">
        <v>45298</v>
      </c>
      <c r="G810" s="22">
        <v>24141.95</v>
      </c>
      <c r="H810">
        <f t="shared" si="25"/>
        <v>5.4705005289331461E-3</v>
      </c>
    </row>
    <row r="811" spans="1:8" x14ac:dyDescent="0.45">
      <c r="A811" s="21" t="s">
        <v>739</v>
      </c>
      <c r="B811" s="22">
        <v>764.75</v>
      </c>
      <c r="D811">
        <f t="shared" si="24"/>
        <v>-2.5433676796661605E-3</v>
      </c>
      <c r="F811" s="23">
        <v>45329</v>
      </c>
      <c r="G811" s="22">
        <v>24123.85</v>
      </c>
      <c r="H811">
        <f t="shared" si="25"/>
        <v>-7.4973231242721412E-4</v>
      </c>
    </row>
    <row r="812" spans="1:8" x14ac:dyDescent="0.45">
      <c r="A812" s="23">
        <v>45298</v>
      </c>
      <c r="B812" s="22">
        <v>769</v>
      </c>
      <c r="D812">
        <f t="shared" si="24"/>
        <v>5.5573716900948018E-3</v>
      </c>
      <c r="F812" s="23">
        <v>45358</v>
      </c>
      <c r="G812" s="22">
        <v>24286.5</v>
      </c>
      <c r="H812">
        <f t="shared" si="25"/>
        <v>6.7422903060664636E-3</v>
      </c>
    </row>
    <row r="813" spans="1:8" x14ac:dyDescent="0.45">
      <c r="A813" s="23">
        <v>45329</v>
      </c>
      <c r="B813" s="22">
        <v>764.2</v>
      </c>
      <c r="D813">
        <f t="shared" si="24"/>
        <v>-6.241872561768471E-3</v>
      </c>
      <c r="F813" s="23">
        <v>45389</v>
      </c>
      <c r="G813" s="22">
        <v>24302.15</v>
      </c>
      <c r="H813">
        <f t="shared" si="25"/>
        <v>6.4439091676451749E-4</v>
      </c>
    </row>
    <row r="814" spans="1:8" x14ac:dyDescent="0.45">
      <c r="A814" s="23">
        <v>45358</v>
      </c>
      <c r="B814" s="22">
        <v>766.8</v>
      </c>
      <c r="D814">
        <f t="shared" si="24"/>
        <v>3.4022507197067637E-3</v>
      </c>
      <c r="F814" s="23">
        <v>45419</v>
      </c>
      <c r="G814" s="22">
        <v>24323.85</v>
      </c>
      <c r="H814">
        <f t="shared" si="25"/>
        <v>8.9292511156408331E-4</v>
      </c>
    </row>
    <row r="815" spans="1:8" x14ac:dyDescent="0.45">
      <c r="A815" s="23">
        <v>45389</v>
      </c>
      <c r="B815" s="22">
        <v>764.9</v>
      </c>
      <c r="D815">
        <f t="shared" si="24"/>
        <v>-2.4778299426186454E-3</v>
      </c>
      <c r="F815" s="23">
        <v>45511</v>
      </c>
      <c r="G815" s="22">
        <v>24320.55</v>
      </c>
      <c r="H815">
        <f t="shared" si="25"/>
        <v>-1.3566931221822501E-4</v>
      </c>
    </row>
    <row r="816" spans="1:8" x14ac:dyDescent="0.45">
      <c r="A816" s="23">
        <v>45419</v>
      </c>
      <c r="B816" s="22">
        <v>762.75</v>
      </c>
      <c r="D816">
        <f t="shared" si="24"/>
        <v>-2.8108249444371517E-3</v>
      </c>
      <c r="F816" s="23">
        <v>45542</v>
      </c>
      <c r="G816" s="22">
        <v>24433.200000000001</v>
      </c>
      <c r="H816">
        <f t="shared" si="25"/>
        <v>4.6318853808816601E-3</v>
      </c>
    </row>
    <row r="817" spans="1:8" x14ac:dyDescent="0.45">
      <c r="A817" s="23">
        <v>45511</v>
      </c>
      <c r="B817" s="22">
        <v>754.3</v>
      </c>
      <c r="D817">
        <f t="shared" si="24"/>
        <v>-1.1078334972140341E-2</v>
      </c>
      <c r="F817" s="23">
        <v>45572</v>
      </c>
      <c r="G817" s="22">
        <v>24324.45</v>
      </c>
      <c r="H817">
        <f t="shared" si="25"/>
        <v>-4.4509110554491428E-3</v>
      </c>
    </row>
    <row r="818" spans="1:8" x14ac:dyDescent="0.45">
      <c r="A818" s="23">
        <v>45542</v>
      </c>
      <c r="B818" s="22">
        <v>745.45</v>
      </c>
      <c r="D818">
        <f t="shared" si="24"/>
        <v>-1.1732732334614755E-2</v>
      </c>
      <c r="F818" s="23">
        <v>45603</v>
      </c>
      <c r="G818" s="22">
        <v>24315.95</v>
      </c>
      <c r="H818">
        <f t="shared" si="25"/>
        <v>-3.4944263899080964E-4</v>
      </c>
    </row>
    <row r="819" spans="1:8" x14ac:dyDescent="0.45">
      <c r="A819" s="23">
        <v>45572</v>
      </c>
      <c r="B819" s="22">
        <v>746.25</v>
      </c>
      <c r="D819">
        <f t="shared" si="24"/>
        <v>1.0731772754711307E-3</v>
      </c>
      <c r="F819" s="23">
        <v>45633</v>
      </c>
      <c r="G819" s="22">
        <v>24502.15</v>
      </c>
      <c r="H819">
        <f t="shared" si="25"/>
        <v>7.6575252046496524E-3</v>
      </c>
    </row>
    <row r="820" spans="1:8" x14ac:dyDescent="0.45">
      <c r="A820" s="23">
        <v>45603</v>
      </c>
      <c r="B820" s="22">
        <v>745.3</v>
      </c>
      <c r="D820">
        <f t="shared" si="24"/>
        <v>-1.2730318257957059E-3</v>
      </c>
      <c r="F820" s="21" t="s">
        <v>740</v>
      </c>
      <c r="G820" s="22">
        <v>24586.7</v>
      </c>
      <c r="H820">
        <f t="shared" si="25"/>
        <v>3.4507175900890031E-3</v>
      </c>
    </row>
    <row r="821" spans="1:8" x14ac:dyDescent="0.45">
      <c r="A821" s="23">
        <v>45633</v>
      </c>
      <c r="B821" s="22">
        <v>751.45</v>
      </c>
      <c r="D821">
        <f t="shared" si="24"/>
        <v>8.2517107205153511E-3</v>
      </c>
      <c r="F821" s="21" t="s">
        <v>741</v>
      </c>
      <c r="G821" s="22">
        <v>24613</v>
      </c>
      <c r="H821">
        <f t="shared" si="25"/>
        <v>1.0696840161550461E-3</v>
      </c>
    </row>
    <row r="822" spans="1:8" x14ac:dyDescent="0.45">
      <c r="A822" s="21" t="s">
        <v>740</v>
      </c>
      <c r="B822" s="22">
        <v>753.9</v>
      </c>
      <c r="D822">
        <f t="shared" si="24"/>
        <v>3.2603632976245015E-3</v>
      </c>
      <c r="F822" s="21" t="s">
        <v>742</v>
      </c>
      <c r="G822" s="22">
        <v>24800.85</v>
      </c>
      <c r="H822">
        <f t="shared" si="25"/>
        <v>7.6321456141063074E-3</v>
      </c>
    </row>
    <row r="823" spans="1:8" x14ac:dyDescent="0.45">
      <c r="A823" s="21" t="s">
        <v>741</v>
      </c>
      <c r="B823" s="22">
        <v>776.2</v>
      </c>
      <c r="D823">
        <f t="shared" si="24"/>
        <v>2.9579519830216301E-2</v>
      </c>
      <c r="F823" s="21" t="s">
        <v>743</v>
      </c>
      <c r="G823" s="22">
        <v>24530.9</v>
      </c>
      <c r="H823">
        <f t="shared" si="25"/>
        <v>-1.0884707580586839E-2</v>
      </c>
    </row>
    <row r="824" spans="1:8" x14ac:dyDescent="0.45">
      <c r="A824" s="21" t="s">
        <v>742</v>
      </c>
      <c r="B824" s="22">
        <v>782</v>
      </c>
      <c r="D824">
        <f t="shared" si="24"/>
        <v>7.4723009533624761E-3</v>
      </c>
      <c r="F824" s="21" t="s">
        <v>744</v>
      </c>
      <c r="G824" s="22">
        <v>24509.25</v>
      </c>
      <c r="H824">
        <f t="shared" si="25"/>
        <v>-8.8256036264472372E-4</v>
      </c>
    </row>
    <row r="825" spans="1:8" x14ac:dyDescent="0.45">
      <c r="A825" s="21" t="s">
        <v>743</v>
      </c>
      <c r="B825" s="22">
        <v>784.9</v>
      </c>
      <c r="D825">
        <f t="shared" si="24"/>
        <v>3.7084398976981806E-3</v>
      </c>
      <c r="F825" s="21" t="s">
        <v>745</v>
      </c>
      <c r="G825" s="22">
        <v>24479.05</v>
      </c>
      <c r="H825">
        <f t="shared" si="25"/>
        <v>-1.2321878474453819E-3</v>
      </c>
    </row>
    <row r="826" spans="1:8" x14ac:dyDescent="0.45">
      <c r="A826" s="21" t="s">
        <v>744</v>
      </c>
      <c r="B826" s="22">
        <v>797.55</v>
      </c>
      <c r="D826">
        <f t="shared" si="24"/>
        <v>1.6116702764683372E-2</v>
      </c>
      <c r="F826" s="21" t="s">
        <v>746</v>
      </c>
      <c r="G826" s="22">
        <v>24413.5</v>
      </c>
      <c r="H826">
        <f t="shared" si="25"/>
        <v>-2.677799996323357E-3</v>
      </c>
    </row>
    <row r="827" spans="1:8" x14ac:dyDescent="0.45">
      <c r="A827" s="21" t="s">
        <v>745</v>
      </c>
      <c r="B827" s="22">
        <v>797.05</v>
      </c>
      <c r="D827">
        <f t="shared" si="24"/>
        <v>-6.2691994232336537E-4</v>
      </c>
      <c r="F827" s="21" t="s">
        <v>747</v>
      </c>
      <c r="G827" s="22">
        <v>24406.1</v>
      </c>
      <c r="H827">
        <f t="shared" si="25"/>
        <v>-3.0311098367712352E-4</v>
      </c>
    </row>
    <row r="828" spans="1:8" x14ac:dyDescent="0.45">
      <c r="A828" s="21" t="s">
        <v>746</v>
      </c>
      <c r="B828" s="22">
        <v>793.65</v>
      </c>
      <c r="D828">
        <f t="shared" si="24"/>
        <v>-4.2657298789285205E-3</v>
      </c>
      <c r="F828" s="21" t="s">
        <v>748</v>
      </c>
      <c r="G828" s="22">
        <v>24834.85</v>
      </c>
      <c r="H828">
        <f t="shared" si="25"/>
        <v>1.7567329479105633E-2</v>
      </c>
    </row>
    <row r="829" spans="1:8" x14ac:dyDescent="0.45">
      <c r="A829" s="21" t="s">
        <v>747</v>
      </c>
      <c r="B829" s="22">
        <v>782.25</v>
      </c>
      <c r="D829">
        <f t="shared" si="24"/>
        <v>-1.4364014364014336E-2</v>
      </c>
      <c r="F829" s="21" t="s">
        <v>749</v>
      </c>
      <c r="G829" s="22">
        <v>24836.1</v>
      </c>
      <c r="H829">
        <f t="shared" si="25"/>
        <v>5.0332496471692003E-5</v>
      </c>
    </row>
    <row r="830" spans="1:8" x14ac:dyDescent="0.45">
      <c r="A830" s="21" t="s">
        <v>748</v>
      </c>
      <c r="B830" s="22">
        <v>782.9</v>
      </c>
      <c r="D830">
        <f t="shared" si="24"/>
        <v>8.30936401406171E-4</v>
      </c>
      <c r="F830" s="21" t="s">
        <v>750</v>
      </c>
      <c r="G830" s="22">
        <v>24857.3</v>
      </c>
      <c r="H830">
        <f t="shared" si="25"/>
        <v>8.5359617653338197E-4</v>
      </c>
    </row>
    <row r="831" spans="1:8" x14ac:dyDescent="0.45">
      <c r="A831" s="21" t="s">
        <v>749</v>
      </c>
      <c r="B831" s="22">
        <v>781.4</v>
      </c>
      <c r="D831">
        <f t="shared" si="24"/>
        <v>-1.9159535061949165E-3</v>
      </c>
      <c r="F831" s="21" t="s">
        <v>751</v>
      </c>
      <c r="G831" s="22">
        <v>24951.15</v>
      </c>
      <c r="H831">
        <f t="shared" si="25"/>
        <v>3.7755508442188887E-3</v>
      </c>
    </row>
    <row r="832" spans="1:8" x14ac:dyDescent="0.45">
      <c r="A832" s="21" t="s">
        <v>750</v>
      </c>
      <c r="B832" s="22">
        <v>782.5</v>
      </c>
      <c r="D832">
        <f t="shared" si="24"/>
        <v>1.4077297158945775E-3</v>
      </c>
      <c r="F832" s="23">
        <v>45299</v>
      </c>
      <c r="G832" s="22">
        <v>25010.9</v>
      </c>
      <c r="H832">
        <f t="shared" si="25"/>
        <v>2.3946792031629802E-3</v>
      </c>
    </row>
    <row r="833" spans="1:8" x14ac:dyDescent="0.45">
      <c r="A833" s="21" t="s">
        <v>751</v>
      </c>
      <c r="B833" s="22">
        <v>783.95</v>
      </c>
      <c r="D833">
        <f t="shared" si="24"/>
        <v>1.8530351437700261E-3</v>
      </c>
      <c r="F833" s="23">
        <v>45330</v>
      </c>
      <c r="G833" s="22">
        <v>24717.7</v>
      </c>
      <c r="H833">
        <f t="shared" si="25"/>
        <v>-1.1722888820474302E-2</v>
      </c>
    </row>
    <row r="834" spans="1:8" x14ac:dyDescent="0.45">
      <c r="A834" s="23">
        <v>45299</v>
      </c>
      <c r="B834" s="22">
        <v>795.8</v>
      </c>
      <c r="D834">
        <f t="shared" si="24"/>
        <v>1.5115759933669122E-2</v>
      </c>
      <c r="F834" s="23">
        <v>45420</v>
      </c>
      <c r="G834" s="22">
        <v>24055.599999999999</v>
      </c>
      <c r="H834">
        <f t="shared" si="25"/>
        <v>-2.6786472851438529E-2</v>
      </c>
    </row>
    <row r="835" spans="1:8" x14ac:dyDescent="0.45">
      <c r="A835" s="23">
        <v>45330</v>
      </c>
      <c r="B835" s="22">
        <v>789.1</v>
      </c>
      <c r="D835">
        <f t="shared" si="24"/>
        <v>-8.4192008042220812E-3</v>
      </c>
      <c r="F835" s="23">
        <v>45451</v>
      </c>
      <c r="G835" s="22">
        <v>23992.55</v>
      </c>
      <c r="H835">
        <f t="shared" si="25"/>
        <v>-2.6210113237665773E-3</v>
      </c>
    </row>
    <row r="836" spans="1:8" x14ac:dyDescent="0.45">
      <c r="A836" s="23">
        <v>45420</v>
      </c>
      <c r="B836" s="22">
        <v>780.15</v>
      </c>
      <c r="D836">
        <f t="shared" ref="D836:D899" si="26">(B836-B835)/B835</f>
        <v>-1.1342035230008929E-2</v>
      </c>
      <c r="F836" s="23">
        <v>45481</v>
      </c>
      <c r="G836" s="22">
        <v>24297.5</v>
      </c>
      <c r="H836">
        <f t="shared" si="25"/>
        <v>1.2710195456506321E-2</v>
      </c>
    </row>
    <row r="837" spans="1:8" x14ac:dyDescent="0.45">
      <c r="A837" s="23">
        <v>45451</v>
      </c>
      <c r="B837" s="22">
        <v>779.8</v>
      </c>
      <c r="D837">
        <f t="shared" si="26"/>
        <v>-4.4863167339617092E-4</v>
      </c>
      <c r="F837" s="23">
        <v>45512</v>
      </c>
      <c r="G837" s="22">
        <v>24117</v>
      </c>
      <c r="H837">
        <f t="shared" ref="H837:H900" si="27">(G837-G836)/G836</f>
        <v>-7.428747813561066E-3</v>
      </c>
    </row>
    <row r="838" spans="1:8" x14ac:dyDescent="0.45">
      <c r="A838" s="23">
        <v>45481</v>
      </c>
      <c r="B838" s="22">
        <v>781.75</v>
      </c>
      <c r="D838">
        <f t="shared" si="26"/>
        <v>2.5006411900487888E-3</v>
      </c>
      <c r="F838" s="23">
        <v>45543</v>
      </c>
      <c r="G838" s="22">
        <v>24367.5</v>
      </c>
      <c r="H838">
        <f t="shared" si="27"/>
        <v>1.0386864037815649E-2</v>
      </c>
    </row>
    <row r="839" spans="1:8" x14ac:dyDescent="0.45">
      <c r="A839" s="23">
        <v>45512</v>
      </c>
      <c r="B839" s="22">
        <v>779.15</v>
      </c>
      <c r="D839">
        <f t="shared" si="26"/>
        <v>-3.3258714422769718E-3</v>
      </c>
      <c r="F839" s="23">
        <v>45634</v>
      </c>
      <c r="G839" s="22">
        <v>24347</v>
      </c>
      <c r="H839">
        <f t="shared" si="27"/>
        <v>-8.412844977941931E-4</v>
      </c>
    </row>
    <row r="840" spans="1:8" x14ac:dyDescent="0.45">
      <c r="A840" s="23">
        <v>45543</v>
      </c>
      <c r="B840" s="22">
        <v>779.45</v>
      </c>
      <c r="D840">
        <f t="shared" si="26"/>
        <v>3.8503497401022683E-4</v>
      </c>
      <c r="F840" s="21" t="s">
        <v>752</v>
      </c>
      <c r="G840" s="22">
        <v>24139</v>
      </c>
      <c r="H840">
        <f t="shared" si="27"/>
        <v>-8.5431469996303452E-3</v>
      </c>
    </row>
    <row r="841" spans="1:8" x14ac:dyDescent="0.45">
      <c r="A841" s="23">
        <v>45634</v>
      </c>
      <c r="B841" s="22">
        <v>772.4</v>
      </c>
      <c r="D841">
        <f t="shared" si="26"/>
        <v>-9.0448393097697956E-3</v>
      </c>
      <c r="F841" s="21" t="s">
        <v>753</v>
      </c>
      <c r="G841" s="22">
        <v>24143.75</v>
      </c>
      <c r="H841">
        <f t="shared" si="27"/>
        <v>1.9677699987571978E-4</v>
      </c>
    </row>
    <row r="842" spans="1:8" x14ac:dyDescent="0.45">
      <c r="A842" s="21" t="s">
        <v>752</v>
      </c>
      <c r="B842" s="22">
        <v>774.85</v>
      </c>
      <c r="D842">
        <f t="shared" si="26"/>
        <v>3.1719316416365167E-3</v>
      </c>
      <c r="F842" s="21" t="s">
        <v>754</v>
      </c>
      <c r="G842" s="22">
        <v>24541.15</v>
      </c>
      <c r="H842">
        <f t="shared" si="27"/>
        <v>1.6459746311157191E-2</v>
      </c>
    </row>
    <row r="843" spans="1:8" x14ac:dyDescent="0.45">
      <c r="A843" s="21" t="s">
        <v>753</v>
      </c>
      <c r="B843" s="22">
        <v>787.3</v>
      </c>
      <c r="D843">
        <f t="shared" si="26"/>
        <v>1.606762599212742E-2</v>
      </c>
      <c r="F843" s="21" t="s">
        <v>755</v>
      </c>
      <c r="G843" s="22">
        <v>24572.65</v>
      </c>
      <c r="H843">
        <f t="shared" si="27"/>
        <v>1.2835584314508488E-3</v>
      </c>
    </row>
    <row r="844" spans="1:8" x14ac:dyDescent="0.45">
      <c r="A844" s="21" t="s">
        <v>754</v>
      </c>
      <c r="B844" s="22">
        <v>804.55</v>
      </c>
      <c r="D844">
        <f t="shared" si="26"/>
        <v>2.1910326432109745E-2</v>
      </c>
      <c r="F844" s="21" t="s">
        <v>756</v>
      </c>
      <c r="G844" s="22">
        <v>24698.85</v>
      </c>
      <c r="H844">
        <f t="shared" si="27"/>
        <v>5.135791215029599E-3</v>
      </c>
    </row>
    <row r="845" spans="1:8" x14ac:dyDescent="0.45">
      <c r="A845" s="21" t="s">
        <v>755</v>
      </c>
      <c r="B845" s="22">
        <v>802.5</v>
      </c>
      <c r="D845">
        <f t="shared" si="26"/>
        <v>-2.5480082033434276E-3</v>
      </c>
      <c r="F845" s="21" t="s">
        <v>757</v>
      </c>
      <c r="G845" s="22">
        <v>24770.2</v>
      </c>
      <c r="H845">
        <f t="shared" si="27"/>
        <v>2.8887984663254437E-3</v>
      </c>
    </row>
    <row r="846" spans="1:8" x14ac:dyDescent="0.45">
      <c r="A846" s="21" t="s">
        <v>756</v>
      </c>
      <c r="B846" s="22">
        <v>805.3</v>
      </c>
      <c r="D846">
        <f t="shared" si="26"/>
        <v>3.489096573208666E-3</v>
      </c>
      <c r="F846" s="21" t="s">
        <v>758</v>
      </c>
      <c r="G846" s="22">
        <v>24811.5</v>
      </c>
      <c r="H846">
        <f t="shared" si="27"/>
        <v>1.6673260611540994E-3</v>
      </c>
    </row>
    <row r="847" spans="1:8" x14ac:dyDescent="0.45">
      <c r="A847" s="21" t="s">
        <v>757</v>
      </c>
      <c r="B847" s="22">
        <v>807.4</v>
      </c>
      <c r="D847">
        <f t="shared" si="26"/>
        <v>2.6077238296287383E-3</v>
      </c>
      <c r="F847" s="21" t="s">
        <v>759</v>
      </c>
      <c r="G847" s="22">
        <v>24823.15</v>
      </c>
      <c r="H847">
        <f t="shared" si="27"/>
        <v>4.6954033411931789E-4</v>
      </c>
    </row>
    <row r="848" spans="1:8" x14ac:dyDescent="0.45">
      <c r="A848" s="21" t="s">
        <v>758</v>
      </c>
      <c r="B848" s="22">
        <v>800.7</v>
      </c>
      <c r="D848">
        <f t="shared" si="26"/>
        <v>-8.2982412682684314E-3</v>
      </c>
      <c r="F848" s="21" t="s">
        <v>760</v>
      </c>
      <c r="G848" s="22">
        <v>25010.6</v>
      </c>
      <c r="H848">
        <f t="shared" si="27"/>
        <v>7.5514187361393325E-3</v>
      </c>
    </row>
    <row r="849" spans="1:8" x14ac:dyDescent="0.45">
      <c r="A849" s="21" t="s">
        <v>759</v>
      </c>
      <c r="B849" s="22">
        <v>781.35</v>
      </c>
      <c r="D849">
        <f t="shared" si="26"/>
        <v>-2.4166354439865145E-2</v>
      </c>
      <c r="F849" s="21" t="s">
        <v>761</v>
      </c>
      <c r="G849" s="22">
        <v>25017.75</v>
      </c>
      <c r="H849">
        <f t="shared" si="27"/>
        <v>2.8587878739420311E-4</v>
      </c>
    </row>
    <row r="850" spans="1:8" x14ac:dyDescent="0.45">
      <c r="A850" s="21" t="s">
        <v>760</v>
      </c>
      <c r="B850" s="22">
        <v>776.1</v>
      </c>
      <c r="D850">
        <f t="shared" si="26"/>
        <v>-6.7191399500863887E-3</v>
      </c>
      <c r="F850" s="21" t="s">
        <v>762</v>
      </c>
      <c r="G850" s="22">
        <v>25052.35</v>
      </c>
      <c r="H850">
        <f t="shared" si="27"/>
        <v>1.3830180571793446E-3</v>
      </c>
    </row>
    <row r="851" spans="1:8" x14ac:dyDescent="0.45">
      <c r="A851" s="21" t="s">
        <v>761</v>
      </c>
      <c r="B851" s="22">
        <v>773.4</v>
      </c>
      <c r="D851">
        <f t="shared" si="26"/>
        <v>-3.4789331271743917E-3</v>
      </c>
      <c r="F851" s="21" t="s">
        <v>763</v>
      </c>
      <c r="G851" s="22">
        <v>25151.95</v>
      </c>
      <c r="H851">
        <f t="shared" si="27"/>
        <v>3.9756749366826744E-3</v>
      </c>
    </row>
    <row r="852" spans="1:8" x14ac:dyDescent="0.45">
      <c r="A852" s="21" t="s">
        <v>762</v>
      </c>
      <c r="B852" s="22">
        <v>784.15</v>
      </c>
      <c r="D852">
        <f t="shared" si="26"/>
        <v>1.3899663822084303E-2</v>
      </c>
      <c r="F852" s="21" t="s">
        <v>764</v>
      </c>
      <c r="G852" s="22">
        <v>25235.9</v>
      </c>
      <c r="H852">
        <f t="shared" si="27"/>
        <v>3.3377133780880101E-3</v>
      </c>
    </row>
    <row r="853" spans="1:8" x14ac:dyDescent="0.45">
      <c r="A853" s="21" t="s">
        <v>763</v>
      </c>
      <c r="B853" s="22">
        <v>776.6</v>
      </c>
      <c r="D853">
        <f t="shared" si="26"/>
        <v>-9.628259899253911E-3</v>
      </c>
      <c r="F853" s="23">
        <v>45331</v>
      </c>
      <c r="G853" s="22">
        <v>25278.7</v>
      </c>
      <c r="H853">
        <f t="shared" si="27"/>
        <v>1.6959965763059478E-3</v>
      </c>
    </row>
    <row r="854" spans="1:8" x14ac:dyDescent="0.45">
      <c r="A854" s="21" t="s">
        <v>764</v>
      </c>
      <c r="B854" s="22">
        <v>778.8</v>
      </c>
      <c r="D854">
        <f t="shared" si="26"/>
        <v>2.8328611898016118E-3</v>
      </c>
      <c r="F854" s="23">
        <v>45360</v>
      </c>
      <c r="G854" s="22">
        <v>25279.85</v>
      </c>
      <c r="H854">
        <f t="shared" si="27"/>
        <v>4.5492845755431141E-5</v>
      </c>
    </row>
    <row r="855" spans="1:8" x14ac:dyDescent="0.45">
      <c r="A855" s="23">
        <v>45331</v>
      </c>
      <c r="B855" s="22">
        <v>768.6</v>
      </c>
      <c r="D855">
        <f t="shared" si="26"/>
        <v>-1.309707241910623E-2</v>
      </c>
      <c r="F855" s="23">
        <v>45391</v>
      </c>
      <c r="G855" s="22">
        <v>25198.7</v>
      </c>
      <c r="H855">
        <f t="shared" si="27"/>
        <v>-3.2100665154262318E-3</v>
      </c>
    </row>
    <row r="856" spans="1:8" x14ac:dyDescent="0.45">
      <c r="A856" s="23">
        <v>45360</v>
      </c>
      <c r="B856" s="22">
        <v>777.8</v>
      </c>
      <c r="D856">
        <f t="shared" si="26"/>
        <v>1.1969815248503685E-2</v>
      </c>
      <c r="F856" s="23">
        <v>45421</v>
      </c>
      <c r="G856" s="22">
        <v>25145.1</v>
      </c>
      <c r="H856">
        <f t="shared" si="27"/>
        <v>-2.1270938580165715E-3</v>
      </c>
    </row>
    <row r="857" spans="1:8" x14ac:dyDescent="0.45">
      <c r="A857" s="23">
        <v>45391</v>
      </c>
      <c r="B857" s="22">
        <v>773.15</v>
      </c>
      <c r="D857">
        <f t="shared" si="26"/>
        <v>-5.9784006171251965E-3</v>
      </c>
      <c r="F857" s="23">
        <v>45452</v>
      </c>
      <c r="G857" s="22">
        <v>24852.15</v>
      </c>
      <c r="H857">
        <f t="shared" si="27"/>
        <v>-1.1650381187587128E-2</v>
      </c>
    </row>
    <row r="858" spans="1:8" x14ac:dyDescent="0.45">
      <c r="A858" s="23">
        <v>45421</v>
      </c>
      <c r="B858" s="22">
        <v>766.6</v>
      </c>
      <c r="D858">
        <f t="shared" si="26"/>
        <v>-8.4718359956023476E-3</v>
      </c>
      <c r="F858" s="23">
        <v>45544</v>
      </c>
      <c r="G858" s="22">
        <v>24936.400000000001</v>
      </c>
      <c r="H858">
        <f t="shared" si="27"/>
        <v>3.3900487482974306E-3</v>
      </c>
    </row>
    <row r="859" spans="1:8" x14ac:dyDescent="0.45">
      <c r="A859" s="23">
        <v>45452</v>
      </c>
      <c r="B859" s="22">
        <v>762.8</v>
      </c>
      <c r="D859">
        <f t="shared" si="26"/>
        <v>-4.9569527785025677E-3</v>
      </c>
      <c r="F859" s="23">
        <v>45574</v>
      </c>
      <c r="G859" s="22">
        <v>25041.1</v>
      </c>
      <c r="H859">
        <f t="shared" si="27"/>
        <v>4.1986814455974835E-3</v>
      </c>
    </row>
    <row r="860" spans="1:8" x14ac:dyDescent="0.45">
      <c r="A860" s="23">
        <v>45544</v>
      </c>
      <c r="B860" s="22">
        <v>763.15</v>
      </c>
      <c r="D860">
        <f t="shared" si="26"/>
        <v>4.5883586785529988E-4</v>
      </c>
      <c r="F860" s="23">
        <v>45605</v>
      </c>
      <c r="G860" s="22">
        <v>24918.45</v>
      </c>
      <c r="H860">
        <f t="shared" si="27"/>
        <v>-4.8979477738596879E-3</v>
      </c>
    </row>
    <row r="861" spans="1:8" x14ac:dyDescent="0.45">
      <c r="A861" s="23">
        <v>45574</v>
      </c>
      <c r="B861" s="22">
        <v>770.2</v>
      </c>
      <c r="D861">
        <f t="shared" si="26"/>
        <v>9.2380266002752651E-3</v>
      </c>
      <c r="F861" s="23">
        <v>45635</v>
      </c>
      <c r="G861" s="22">
        <v>25388.9</v>
      </c>
      <c r="H861">
        <f t="shared" si="27"/>
        <v>1.8879585206945083E-2</v>
      </c>
    </row>
    <row r="862" spans="1:8" x14ac:dyDescent="0.45">
      <c r="A862" s="23">
        <v>45605</v>
      </c>
      <c r="B862" s="22">
        <v>769.35</v>
      </c>
      <c r="D862">
        <f t="shared" si="26"/>
        <v>-1.1036094520903957E-3</v>
      </c>
      <c r="F862" s="21" t="s">
        <v>765</v>
      </c>
      <c r="G862" s="22">
        <v>25356.5</v>
      </c>
      <c r="H862">
        <f t="shared" si="27"/>
        <v>-1.2761482380095812E-3</v>
      </c>
    </row>
    <row r="863" spans="1:8" x14ac:dyDescent="0.45">
      <c r="A863" s="23">
        <v>45635</v>
      </c>
      <c r="B863" s="22">
        <v>770.4</v>
      </c>
      <c r="D863">
        <f t="shared" si="26"/>
        <v>1.3647884577889836E-3</v>
      </c>
      <c r="F863" s="21" t="s">
        <v>766</v>
      </c>
      <c r="G863" s="22">
        <v>25383.75</v>
      </c>
      <c r="H863">
        <f t="shared" si="27"/>
        <v>1.0746751326089958E-3</v>
      </c>
    </row>
    <row r="864" spans="1:8" x14ac:dyDescent="0.45">
      <c r="A864" s="21" t="s">
        <v>765</v>
      </c>
      <c r="B864" s="22">
        <v>769.3</v>
      </c>
      <c r="D864">
        <f t="shared" si="26"/>
        <v>-1.4278296988577657E-3</v>
      </c>
      <c r="F864" s="21" t="s">
        <v>767</v>
      </c>
      <c r="G864" s="22">
        <v>25418.55</v>
      </c>
      <c r="H864">
        <f t="shared" si="27"/>
        <v>1.3709558280395637E-3</v>
      </c>
    </row>
    <row r="865" spans="1:8" x14ac:dyDescent="0.45">
      <c r="A865" s="21" t="s">
        <v>766</v>
      </c>
      <c r="B865" s="22">
        <v>764.65</v>
      </c>
      <c r="D865">
        <f t="shared" si="26"/>
        <v>-6.0444559989600646E-3</v>
      </c>
      <c r="F865" s="21" t="s">
        <v>768</v>
      </c>
      <c r="G865" s="22">
        <v>25377.55</v>
      </c>
      <c r="H865">
        <f t="shared" si="27"/>
        <v>-1.612995233795791E-3</v>
      </c>
    </row>
    <row r="866" spans="1:8" x14ac:dyDescent="0.45">
      <c r="A866" s="21" t="s">
        <v>767</v>
      </c>
      <c r="B866" s="22">
        <v>763.5</v>
      </c>
      <c r="D866">
        <f t="shared" si="26"/>
        <v>-1.5039560583273096E-3</v>
      </c>
      <c r="F866" s="21" t="s">
        <v>769</v>
      </c>
      <c r="G866" s="22">
        <v>25415.8</v>
      </c>
      <c r="H866">
        <f t="shared" si="27"/>
        <v>1.5072376963103215E-3</v>
      </c>
    </row>
    <row r="867" spans="1:8" x14ac:dyDescent="0.45">
      <c r="A867" s="21" t="s">
        <v>768</v>
      </c>
      <c r="B867" s="22">
        <v>758.25</v>
      </c>
      <c r="D867">
        <f t="shared" si="26"/>
        <v>-6.8762278978389E-3</v>
      </c>
      <c r="F867" s="21" t="s">
        <v>770</v>
      </c>
      <c r="G867" s="22">
        <v>25790.95</v>
      </c>
      <c r="H867">
        <f t="shared" si="27"/>
        <v>1.4760503308965348E-2</v>
      </c>
    </row>
    <row r="868" spans="1:8" x14ac:dyDescent="0.45">
      <c r="A868" s="21" t="s">
        <v>769</v>
      </c>
      <c r="B868" s="22">
        <v>751.15</v>
      </c>
      <c r="D868">
        <f t="shared" si="26"/>
        <v>-9.3636663369601348E-3</v>
      </c>
      <c r="F868" s="21" t="s">
        <v>771</v>
      </c>
      <c r="G868" s="22">
        <v>25939.05</v>
      </c>
      <c r="H868">
        <f t="shared" si="27"/>
        <v>5.7423243424534007E-3</v>
      </c>
    </row>
    <row r="869" spans="1:8" x14ac:dyDescent="0.45">
      <c r="A869" s="21" t="s">
        <v>770</v>
      </c>
      <c r="B869" s="22">
        <v>747.9</v>
      </c>
      <c r="D869">
        <f t="shared" si="26"/>
        <v>-4.326699061439127E-3</v>
      </c>
      <c r="F869" s="21" t="s">
        <v>772</v>
      </c>
      <c r="G869" s="22">
        <v>25940.400000000001</v>
      </c>
      <c r="H869">
        <f t="shared" si="27"/>
        <v>5.2045082607195824E-5</v>
      </c>
    </row>
    <row r="870" spans="1:8" x14ac:dyDescent="0.45">
      <c r="A870" s="21" t="s">
        <v>771</v>
      </c>
      <c r="B870" s="22">
        <v>746.5</v>
      </c>
      <c r="D870">
        <f t="shared" si="26"/>
        <v>-1.8719080090920943E-3</v>
      </c>
      <c r="F870" s="21" t="s">
        <v>773</v>
      </c>
      <c r="G870" s="22">
        <v>26004.15</v>
      </c>
      <c r="H870">
        <f t="shared" si="27"/>
        <v>2.4575565527131422E-3</v>
      </c>
    </row>
    <row r="871" spans="1:8" x14ac:dyDescent="0.45">
      <c r="A871" s="21" t="s">
        <v>772</v>
      </c>
      <c r="B871" s="22">
        <v>741.7</v>
      </c>
      <c r="D871">
        <f t="shared" si="26"/>
        <v>-6.4300066979235829E-3</v>
      </c>
      <c r="F871" s="21" t="s">
        <v>774</v>
      </c>
      <c r="G871" s="22">
        <v>26216.05</v>
      </c>
      <c r="H871">
        <f t="shared" si="27"/>
        <v>8.1486993422202926E-3</v>
      </c>
    </row>
    <row r="872" spans="1:8" x14ac:dyDescent="0.45">
      <c r="A872" s="21" t="s">
        <v>773</v>
      </c>
      <c r="B872" s="22">
        <v>741.95</v>
      </c>
      <c r="D872">
        <f t="shared" si="26"/>
        <v>3.3706350276392069E-4</v>
      </c>
      <c r="F872" s="21" t="s">
        <v>775</v>
      </c>
      <c r="G872" s="22">
        <v>26178.95</v>
      </c>
      <c r="H872">
        <f t="shared" si="27"/>
        <v>-1.4151636116042862E-3</v>
      </c>
    </row>
    <row r="873" spans="1:8" x14ac:dyDescent="0.45">
      <c r="A873" s="21" t="s">
        <v>774</v>
      </c>
      <c r="B873" s="22">
        <v>736.5</v>
      </c>
      <c r="D873">
        <f t="shared" si="26"/>
        <v>-7.3455084574432844E-3</v>
      </c>
      <c r="F873" s="21" t="s">
        <v>776</v>
      </c>
      <c r="G873" s="22">
        <v>25810.85</v>
      </c>
      <c r="H873">
        <f t="shared" si="27"/>
        <v>-1.4060915353748036E-2</v>
      </c>
    </row>
    <row r="874" spans="1:8" x14ac:dyDescent="0.45">
      <c r="A874" s="21" t="s">
        <v>775</v>
      </c>
      <c r="B874" s="22">
        <v>728.25</v>
      </c>
      <c r="D874">
        <f t="shared" si="26"/>
        <v>-1.1201629327902239E-2</v>
      </c>
      <c r="F874" s="23">
        <v>45301</v>
      </c>
      <c r="G874" s="22">
        <v>25796.9</v>
      </c>
      <c r="H874">
        <f t="shared" si="27"/>
        <v>-5.4047038357888603E-4</v>
      </c>
    </row>
    <row r="875" spans="1:8" x14ac:dyDescent="0.45">
      <c r="A875" s="21" t="s">
        <v>776</v>
      </c>
      <c r="B875" s="22">
        <v>736.95</v>
      </c>
      <c r="D875">
        <f t="shared" si="26"/>
        <v>1.1946446961895016E-2</v>
      </c>
      <c r="F875" s="23">
        <v>45361</v>
      </c>
      <c r="G875" s="22">
        <v>25250.1</v>
      </c>
      <c r="H875">
        <f t="shared" si="27"/>
        <v>-2.1196345297303278E-2</v>
      </c>
    </row>
    <row r="876" spans="1:8" x14ac:dyDescent="0.45">
      <c r="A876" s="23">
        <v>45301</v>
      </c>
      <c r="B876" s="22">
        <v>766.45</v>
      </c>
      <c r="D876">
        <f t="shared" si="26"/>
        <v>4.0029852771558447E-2</v>
      </c>
      <c r="F876" s="23">
        <v>45392</v>
      </c>
      <c r="G876" s="22">
        <v>25014.6</v>
      </c>
      <c r="H876">
        <f t="shared" si="27"/>
        <v>-9.3266957358584725E-3</v>
      </c>
    </row>
    <row r="877" spans="1:8" x14ac:dyDescent="0.45">
      <c r="A877" s="23">
        <v>45361</v>
      </c>
      <c r="B877" s="22">
        <v>753.4</v>
      </c>
      <c r="D877">
        <f t="shared" si="26"/>
        <v>-1.7026550981799293E-2</v>
      </c>
      <c r="F877" s="23">
        <v>45483</v>
      </c>
      <c r="G877" s="22">
        <v>24795.75</v>
      </c>
      <c r="H877">
        <f t="shared" si="27"/>
        <v>-8.7488906478615912E-3</v>
      </c>
    </row>
    <row r="878" spans="1:8" x14ac:dyDescent="0.45">
      <c r="A878" s="23">
        <v>45392</v>
      </c>
      <c r="B878" s="22">
        <v>746.25</v>
      </c>
      <c r="D878">
        <f t="shared" si="26"/>
        <v>-9.4903105919829801E-3</v>
      </c>
      <c r="F878" s="23">
        <v>45514</v>
      </c>
      <c r="G878" s="22">
        <v>25013.15</v>
      </c>
      <c r="H878">
        <f t="shared" si="27"/>
        <v>8.7676315497616109E-3</v>
      </c>
    </row>
    <row r="879" spans="1:8" x14ac:dyDescent="0.45">
      <c r="A879" s="23">
        <v>45483</v>
      </c>
      <c r="B879" s="22">
        <v>733.05</v>
      </c>
      <c r="D879">
        <f t="shared" si="26"/>
        <v>-1.7688442211055339E-2</v>
      </c>
      <c r="F879" s="23">
        <v>45545</v>
      </c>
      <c r="G879" s="22">
        <v>24981.95</v>
      </c>
      <c r="H879">
        <f t="shared" si="27"/>
        <v>-1.2473438971101491E-3</v>
      </c>
    </row>
    <row r="880" spans="1:8" x14ac:dyDescent="0.45">
      <c r="A880" s="23">
        <v>45514</v>
      </c>
      <c r="B880" s="22">
        <v>738.65</v>
      </c>
      <c r="D880">
        <f t="shared" si="26"/>
        <v>7.639315189959789E-3</v>
      </c>
      <c r="F880" s="23">
        <v>45575</v>
      </c>
      <c r="G880" s="22">
        <v>24998.45</v>
      </c>
      <c r="H880">
        <f t="shared" si="27"/>
        <v>6.604768642960217E-4</v>
      </c>
    </row>
    <row r="881" spans="1:8" x14ac:dyDescent="0.45">
      <c r="A881" s="23">
        <v>45545</v>
      </c>
      <c r="B881" s="22">
        <v>736.8</v>
      </c>
      <c r="D881">
        <f t="shared" si="26"/>
        <v>-2.5045691464157895E-3</v>
      </c>
      <c r="F881" s="23">
        <v>45606</v>
      </c>
      <c r="G881" s="22">
        <v>24964.25</v>
      </c>
      <c r="H881">
        <f t="shared" si="27"/>
        <v>-1.368084821258947E-3</v>
      </c>
    </row>
    <row r="882" spans="1:8" x14ac:dyDescent="0.45">
      <c r="A882" s="23">
        <v>45575</v>
      </c>
      <c r="B882" s="22">
        <v>734.55</v>
      </c>
      <c r="D882">
        <f t="shared" si="26"/>
        <v>-3.0537459283387623E-3</v>
      </c>
      <c r="F882" s="21" t="s">
        <v>777</v>
      </c>
      <c r="G882" s="22">
        <v>25127.95</v>
      </c>
      <c r="H882">
        <f t="shared" si="27"/>
        <v>6.5573770491803574E-3</v>
      </c>
    </row>
    <row r="883" spans="1:8" x14ac:dyDescent="0.45">
      <c r="A883" s="23">
        <v>45606</v>
      </c>
      <c r="B883" s="22">
        <v>735.3</v>
      </c>
      <c r="D883">
        <f t="shared" si="26"/>
        <v>1.0210332856851133E-3</v>
      </c>
      <c r="F883" s="21" t="s">
        <v>778</v>
      </c>
      <c r="G883" s="22">
        <v>25057.35</v>
      </c>
      <c r="H883">
        <f t="shared" si="27"/>
        <v>-2.8096203629823435E-3</v>
      </c>
    </row>
    <row r="884" spans="1:8" x14ac:dyDescent="0.45">
      <c r="A884" s="21" t="s">
        <v>777</v>
      </c>
      <c r="B884" s="22">
        <v>733.4</v>
      </c>
      <c r="D884">
        <f t="shared" si="26"/>
        <v>-2.583979328165344E-3</v>
      </c>
      <c r="F884" s="21" t="s">
        <v>779</v>
      </c>
      <c r="G884" s="22">
        <v>24971.3</v>
      </c>
      <c r="H884">
        <f t="shared" si="27"/>
        <v>-3.4341221238478642E-3</v>
      </c>
    </row>
    <row r="885" spans="1:8" x14ac:dyDescent="0.45">
      <c r="A885" s="21" t="s">
        <v>778</v>
      </c>
      <c r="B885" s="22">
        <v>728.9</v>
      </c>
      <c r="D885">
        <f t="shared" si="26"/>
        <v>-6.1358058358331061E-3</v>
      </c>
      <c r="F885" s="21" t="s">
        <v>780</v>
      </c>
      <c r="G885" s="22">
        <v>24749.85</v>
      </c>
      <c r="H885">
        <f t="shared" si="27"/>
        <v>-8.8681806714108087E-3</v>
      </c>
    </row>
    <row r="886" spans="1:8" x14ac:dyDescent="0.45">
      <c r="A886" s="21" t="s">
        <v>779</v>
      </c>
      <c r="B886" s="22">
        <v>729.5</v>
      </c>
      <c r="D886">
        <f t="shared" si="26"/>
        <v>8.2315818356430617E-4</v>
      </c>
      <c r="F886" s="21" t="s">
        <v>781</v>
      </c>
      <c r="G886" s="22">
        <v>24854.05</v>
      </c>
      <c r="H886">
        <f t="shared" si="27"/>
        <v>4.2101265260193789E-3</v>
      </c>
    </row>
    <row r="887" spans="1:8" x14ac:dyDescent="0.45">
      <c r="A887" s="21" t="s">
        <v>780</v>
      </c>
      <c r="B887" s="22">
        <v>723.75</v>
      </c>
      <c r="D887">
        <f t="shared" si="26"/>
        <v>-7.8821110349554489E-3</v>
      </c>
      <c r="F887" s="21" t="s">
        <v>782</v>
      </c>
      <c r="G887" s="22">
        <v>24781.1</v>
      </c>
      <c r="H887">
        <f t="shared" si="27"/>
        <v>-2.9351353199981787E-3</v>
      </c>
    </row>
    <row r="888" spans="1:8" x14ac:dyDescent="0.45">
      <c r="A888" s="21" t="s">
        <v>781</v>
      </c>
      <c r="B888" s="22">
        <v>726.45</v>
      </c>
      <c r="D888">
        <f t="shared" si="26"/>
        <v>3.7305699481865913E-3</v>
      </c>
      <c r="F888" s="21" t="s">
        <v>783</v>
      </c>
      <c r="G888" s="22">
        <v>24472.1</v>
      </c>
      <c r="H888">
        <f t="shared" si="27"/>
        <v>-1.2469180141317376E-2</v>
      </c>
    </row>
    <row r="889" spans="1:8" x14ac:dyDescent="0.45">
      <c r="A889" s="21" t="s">
        <v>782</v>
      </c>
      <c r="B889" s="22">
        <v>725.65</v>
      </c>
      <c r="D889">
        <f t="shared" si="26"/>
        <v>-1.1012457842935759E-3</v>
      </c>
      <c r="F889" s="21" t="s">
        <v>784</v>
      </c>
      <c r="G889" s="22">
        <v>24435.5</v>
      </c>
      <c r="H889">
        <f t="shared" si="27"/>
        <v>-1.4955806816741737E-3</v>
      </c>
    </row>
    <row r="890" spans="1:8" x14ac:dyDescent="0.45">
      <c r="A890" s="21" t="s">
        <v>783</v>
      </c>
      <c r="B890" s="22">
        <v>701.8</v>
      </c>
      <c r="D890">
        <f t="shared" si="26"/>
        <v>-3.2867084682698305E-2</v>
      </c>
      <c r="F890" s="21" t="s">
        <v>785</v>
      </c>
      <c r="G890" s="22">
        <v>24399.4</v>
      </c>
      <c r="H890">
        <f t="shared" si="27"/>
        <v>-1.4773587608192403E-3</v>
      </c>
    </row>
    <row r="891" spans="1:8" x14ac:dyDescent="0.45">
      <c r="A891" s="21" t="s">
        <v>784</v>
      </c>
      <c r="B891" s="22">
        <v>700.4</v>
      </c>
      <c r="D891">
        <f t="shared" si="26"/>
        <v>-1.9948703334282947E-3</v>
      </c>
      <c r="F891" s="21" t="s">
        <v>786</v>
      </c>
      <c r="G891" s="22">
        <v>24180.799999999999</v>
      </c>
      <c r="H891">
        <f t="shared" si="27"/>
        <v>-8.9592367025419541E-3</v>
      </c>
    </row>
    <row r="892" spans="1:8" x14ac:dyDescent="0.45">
      <c r="A892" s="21" t="s">
        <v>785</v>
      </c>
      <c r="B892" s="22">
        <v>697.35</v>
      </c>
      <c r="D892">
        <f t="shared" si="26"/>
        <v>-4.3546544831524195E-3</v>
      </c>
      <c r="F892" s="21" t="s">
        <v>787</v>
      </c>
      <c r="G892" s="22">
        <v>24339.15</v>
      </c>
      <c r="H892">
        <f t="shared" si="27"/>
        <v>6.5485840005294364E-3</v>
      </c>
    </row>
    <row r="893" spans="1:8" x14ac:dyDescent="0.45">
      <c r="A893" s="21" t="s">
        <v>786</v>
      </c>
      <c r="B893" s="22">
        <v>688.75</v>
      </c>
      <c r="D893">
        <f t="shared" si="26"/>
        <v>-1.2332401233240156E-2</v>
      </c>
      <c r="F893" s="21" t="s">
        <v>788</v>
      </c>
      <c r="G893" s="22">
        <v>24466.85</v>
      </c>
      <c r="H893">
        <f t="shared" si="27"/>
        <v>5.2466910307055539E-3</v>
      </c>
    </row>
    <row r="894" spans="1:8" x14ac:dyDescent="0.45">
      <c r="A894" s="21" t="s">
        <v>787</v>
      </c>
      <c r="B894" s="22">
        <v>717.85</v>
      </c>
      <c r="D894">
        <f t="shared" si="26"/>
        <v>4.2250453720508202E-2</v>
      </c>
      <c r="F894" s="21" t="s">
        <v>789</v>
      </c>
      <c r="G894" s="22">
        <v>24340.85</v>
      </c>
      <c r="H894">
        <f t="shared" si="27"/>
        <v>-5.1498251716097501E-3</v>
      </c>
    </row>
    <row r="895" spans="1:8" x14ac:dyDescent="0.45">
      <c r="A895" s="21" t="s">
        <v>788</v>
      </c>
      <c r="B895" s="22">
        <v>723.05</v>
      </c>
      <c r="D895">
        <f t="shared" si="26"/>
        <v>7.2438531726682891E-3</v>
      </c>
      <c r="F895" s="21" t="s">
        <v>790</v>
      </c>
      <c r="G895" s="22">
        <v>24205.35</v>
      </c>
      <c r="H895">
        <f t="shared" si="27"/>
        <v>-5.5667735514577351E-3</v>
      </c>
    </row>
    <row r="896" spans="1:8" x14ac:dyDescent="0.45">
      <c r="A896" s="21" t="s">
        <v>789</v>
      </c>
      <c r="B896" s="22">
        <v>729.65</v>
      </c>
      <c r="D896">
        <f t="shared" si="26"/>
        <v>9.1279994467879447E-3</v>
      </c>
      <c r="F896" s="23">
        <v>45302</v>
      </c>
      <c r="G896" s="22">
        <v>24304.35</v>
      </c>
      <c r="H896">
        <f t="shared" si="27"/>
        <v>4.0900048956119209E-3</v>
      </c>
    </row>
    <row r="897" spans="1:8" x14ac:dyDescent="0.45">
      <c r="A897" s="21" t="s">
        <v>790</v>
      </c>
      <c r="B897" s="22">
        <v>733.4</v>
      </c>
      <c r="D897">
        <f t="shared" si="26"/>
        <v>5.139450421434935E-3</v>
      </c>
      <c r="F897" s="23">
        <v>45393</v>
      </c>
      <c r="G897" s="22">
        <v>23995.35</v>
      </c>
      <c r="H897">
        <f t="shared" si="27"/>
        <v>-1.2713773460306488E-2</v>
      </c>
    </row>
    <row r="898" spans="1:8" x14ac:dyDescent="0.45">
      <c r="A898" s="23">
        <v>45302</v>
      </c>
      <c r="B898" s="22">
        <v>735.05</v>
      </c>
      <c r="D898">
        <f t="shared" si="26"/>
        <v>2.2497954731387744E-3</v>
      </c>
      <c r="F898" s="23">
        <v>45423</v>
      </c>
      <c r="G898" s="22">
        <v>24213.3</v>
      </c>
      <c r="H898">
        <f t="shared" si="27"/>
        <v>9.0830098331552041E-3</v>
      </c>
    </row>
    <row r="899" spans="1:8" x14ac:dyDescent="0.45">
      <c r="A899" s="23">
        <v>45393</v>
      </c>
      <c r="B899" s="22">
        <v>729.75</v>
      </c>
      <c r="D899">
        <f t="shared" si="26"/>
        <v>-7.2103938507583907E-3</v>
      </c>
      <c r="F899" s="23">
        <v>45454</v>
      </c>
      <c r="G899" s="22">
        <v>24484.05</v>
      </c>
      <c r="H899">
        <f t="shared" si="27"/>
        <v>1.1181871120417292E-2</v>
      </c>
    </row>
    <row r="900" spans="1:8" x14ac:dyDescent="0.45">
      <c r="A900" s="23">
        <v>45423</v>
      </c>
      <c r="B900" s="22">
        <v>733.5</v>
      </c>
      <c r="D900">
        <f t="shared" ref="D900:D913" si="28">(B900-B899)/B899</f>
        <v>5.1387461459403904E-3</v>
      </c>
      <c r="F900" s="23">
        <v>45484</v>
      </c>
      <c r="G900" s="22">
        <v>24199.35</v>
      </c>
      <c r="H900">
        <f t="shared" si="27"/>
        <v>-1.162797821438858E-2</v>
      </c>
    </row>
    <row r="901" spans="1:8" x14ac:dyDescent="0.45">
      <c r="A901" s="23">
        <v>45454</v>
      </c>
      <c r="B901" s="22">
        <v>736.05</v>
      </c>
      <c r="D901">
        <f t="shared" si="28"/>
        <v>3.4764826175868501E-3</v>
      </c>
      <c r="F901" s="23">
        <v>45515</v>
      </c>
      <c r="G901" s="22">
        <v>24148.2</v>
      </c>
      <c r="H901">
        <f t="shared" ref="H901:H911" si="29">(G901-G900)/G900</f>
        <v>-2.1136931363858044E-3</v>
      </c>
    </row>
    <row r="902" spans="1:8" x14ac:dyDescent="0.45">
      <c r="A902" s="23">
        <v>45484</v>
      </c>
      <c r="B902" s="22">
        <v>736.7</v>
      </c>
      <c r="D902">
        <f t="shared" si="28"/>
        <v>8.8309218123781125E-4</v>
      </c>
      <c r="F902" s="23">
        <v>45607</v>
      </c>
      <c r="G902" s="22">
        <v>24141.3</v>
      </c>
      <c r="H902">
        <f t="shared" si="29"/>
        <v>-2.8573558277641628E-4</v>
      </c>
    </row>
    <row r="903" spans="1:8" x14ac:dyDescent="0.45">
      <c r="A903" s="23">
        <v>45515</v>
      </c>
      <c r="B903" s="22">
        <v>736.2</v>
      </c>
      <c r="D903">
        <f t="shared" si="28"/>
        <v>-6.7870232116193829E-4</v>
      </c>
      <c r="F903" s="23">
        <v>45637</v>
      </c>
      <c r="G903" s="22">
        <v>23883.45</v>
      </c>
      <c r="H903">
        <f t="shared" si="29"/>
        <v>-1.0680866399075383E-2</v>
      </c>
    </row>
    <row r="904" spans="1:8" x14ac:dyDescent="0.45">
      <c r="A904" s="23">
        <v>45607</v>
      </c>
      <c r="B904" s="22">
        <v>737.65</v>
      </c>
      <c r="D904">
        <f t="shared" si="28"/>
        <v>1.969573485465813E-3</v>
      </c>
      <c r="F904" s="21" t="s">
        <v>791</v>
      </c>
      <c r="G904" s="22">
        <v>23559.05</v>
      </c>
      <c r="H904">
        <f t="shared" si="29"/>
        <v>-1.3582627300494754E-2</v>
      </c>
    </row>
    <row r="905" spans="1:8" x14ac:dyDescent="0.45">
      <c r="A905" s="23">
        <v>45637</v>
      </c>
      <c r="B905" s="22">
        <v>729.35</v>
      </c>
      <c r="D905">
        <f t="shared" si="28"/>
        <v>-1.1251948756185121E-2</v>
      </c>
      <c r="F905" s="21" t="s">
        <v>792</v>
      </c>
      <c r="G905" s="22">
        <v>23532.7</v>
      </c>
      <c r="H905">
        <f t="shared" si="29"/>
        <v>-1.118466152073133E-3</v>
      </c>
    </row>
    <row r="906" spans="1:8" x14ac:dyDescent="0.45">
      <c r="A906" s="21" t="s">
        <v>791</v>
      </c>
      <c r="B906" s="22">
        <v>723.3</v>
      </c>
      <c r="D906">
        <f t="shared" si="28"/>
        <v>-8.2950572427504879E-3</v>
      </c>
      <c r="F906" s="21" t="s">
        <v>793</v>
      </c>
      <c r="G906" s="22">
        <v>23453.8</v>
      </c>
      <c r="H906">
        <f t="shared" si="29"/>
        <v>-3.3527814487925929E-3</v>
      </c>
    </row>
    <row r="907" spans="1:8" x14ac:dyDescent="0.45">
      <c r="A907" s="21" t="s">
        <v>792</v>
      </c>
      <c r="B907" s="22">
        <v>734.85</v>
      </c>
      <c r="D907">
        <f t="shared" si="28"/>
        <v>1.5968477810037424E-2</v>
      </c>
      <c r="F907" s="21" t="s">
        <v>794</v>
      </c>
      <c r="G907" s="22">
        <v>23518.5</v>
      </c>
      <c r="H907">
        <f t="shared" si="29"/>
        <v>2.7586148086877491E-3</v>
      </c>
    </row>
    <row r="908" spans="1:8" x14ac:dyDescent="0.45">
      <c r="A908" s="21" t="s">
        <v>793</v>
      </c>
      <c r="B908" s="22">
        <v>715.1</v>
      </c>
      <c r="D908">
        <f t="shared" si="28"/>
        <v>-2.6876233244879907E-2</v>
      </c>
      <c r="F908" s="21" t="s">
        <v>795</v>
      </c>
      <c r="G908" s="22">
        <v>23349.9</v>
      </c>
      <c r="H908">
        <f t="shared" si="29"/>
        <v>-7.1688245423814677E-3</v>
      </c>
    </row>
    <row r="909" spans="1:8" x14ac:dyDescent="0.45">
      <c r="A909" s="21" t="s">
        <v>794</v>
      </c>
      <c r="B909" s="22">
        <v>731.55</v>
      </c>
      <c r="D909">
        <f t="shared" si="28"/>
        <v>2.3003775695706798E-2</v>
      </c>
      <c r="F909" s="21" t="s">
        <v>796</v>
      </c>
      <c r="G909" s="22">
        <v>23907.25</v>
      </c>
      <c r="H909">
        <f t="shared" si="29"/>
        <v>2.3869481239748285E-2</v>
      </c>
    </row>
    <row r="910" spans="1:8" x14ac:dyDescent="0.45">
      <c r="A910" s="21" t="s">
        <v>795</v>
      </c>
      <c r="B910" s="22">
        <v>725.3</v>
      </c>
      <c r="D910">
        <f t="shared" si="28"/>
        <v>-8.5435035199234507E-3</v>
      </c>
      <c r="F910" s="21" t="s">
        <v>797</v>
      </c>
      <c r="G910" s="22">
        <v>24221.9</v>
      </c>
      <c r="H910">
        <f t="shared" si="29"/>
        <v>1.316127952817666E-2</v>
      </c>
    </row>
    <row r="911" spans="1:8" x14ac:dyDescent="0.45">
      <c r="A911" s="21" t="s">
        <v>796</v>
      </c>
      <c r="B911" s="22">
        <v>733.2</v>
      </c>
      <c r="D911">
        <f t="shared" si="28"/>
        <v>1.0892044671170676E-2</v>
      </c>
      <c r="F911" s="21" t="s">
        <v>798</v>
      </c>
      <c r="G911" s="22">
        <v>24194.5</v>
      </c>
      <c r="H911">
        <f t="shared" si="29"/>
        <v>-1.1312077087264605E-3</v>
      </c>
    </row>
    <row r="912" spans="1:8" x14ac:dyDescent="0.45">
      <c r="A912" s="21" t="s">
        <v>797</v>
      </c>
      <c r="B912" s="22">
        <v>728.65</v>
      </c>
      <c r="D912">
        <f t="shared" si="28"/>
        <v>-6.2056737588653405E-3</v>
      </c>
    </row>
    <row r="913" spans="1:4" x14ac:dyDescent="0.45">
      <c r="A913" s="21" t="s">
        <v>798</v>
      </c>
      <c r="B913" s="22">
        <v>732.65</v>
      </c>
      <c r="D913">
        <f t="shared" si="28"/>
        <v>5.4896040623070063E-3</v>
      </c>
    </row>
  </sheetData>
  <mergeCells count="3">
    <mergeCell ref="F1:G1"/>
    <mergeCell ref="O1:Q1"/>
    <mergeCell ref="O28:R28"/>
  </mergeCells>
  <hyperlinks>
    <hyperlink ref="O28" r:id="rId1" xr:uid="{107A0F53-9A3E-4728-AEB4-7EBB6F2EABC7}"/>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AF7C9-9C4B-4309-8FB2-C727FE948E7E}">
  <dimension ref="A1:W95"/>
  <sheetViews>
    <sheetView tabSelected="1" zoomScale="78" workbookViewId="0">
      <selection activeCell="K132" sqref="K132"/>
    </sheetView>
  </sheetViews>
  <sheetFormatPr defaultRowHeight="14.25" x14ac:dyDescent="0.45"/>
  <cols>
    <col min="1" max="1" width="25" bestFit="1" customWidth="1"/>
    <col min="2" max="2" width="29.53125" bestFit="1" customWidth="1"/>
    <col min="3" max="3" width="10.33203125" customWidth="1"/>
    <col min="14" max="14" width="32.46484375" bestFit="1" customWidth="1"/>
    <col min="15" max="15" width="25" customWidth="1"/>
    <col min="16" max="16" width="20.796875" bestFit="1" customWidth="1"/>
  </cols>
  <sheetData>
    <row r="1" spans="1:23" x14ac:dyDescent="0.45">
      <c r="D1" s="49" t="s">
        <v>131</v>
      </c>
      <c r="E1" s="49"/>
      <c r="F1" s="49"/>
      <c r="G1" s="49"/>
      <c r="H1" s="49"/>
      <c r="I1" s="49"/>
      <c r="N1" s="47" t="s">
        <v>195</v>
      </c>
      <c r="O1" s="47"/>
      <c r="P1" s="47"/>
      <c r="Q1" s="47"/>
      <c r="R1" s="47"/>
      <c r="S1" s="47"/>
      <c r="T1" s="47"/>
      <c r="U1" s="47"/>
      <c r="V1" s="47"/>
      <c r="W1" s="47"/>
    </row>
    <row r="2" spans="1:23" x14ac:dyDescent="0.45">
      <c r="C2">
        <v>2018</v>
      </c>
      <c r="D2">
        <v>2019</v>
      </c>
      <c r="E2">
        <v>2020</v>
      </c>
      <c r="F2">
        <v>2021</v>
      </c>
      <c r="G2">
        <v>2022</v>
      </c>
      <c r="H2">
        <v>2023</v>
      </c>
      <c r="I2">
        <v>2024</v>
      </c>
      <c r="N2" s="47"/>
      <c r="O2" s="47"/>
      <c r="P2" s="47"/>
      <c r="Q2" s="47"/>
      <c r="R2" s="47"/>
      <c r="S2" s="47"/>
      <c r="T2" s="47"/>
      <c r="U2" s="47"/>
      <c r="V2" s="47"/>
      <c r="W2" s="47"/>
    </row>
    <row r="3" spans="1:23" x14ac:dyDescent="0.45">
      <c r="Q3" t="s">
        <v>196</v>
      </c>
      <c r="R3">
        <v>2019</v>
      </c>
      <c r="S3">
        <v>2020</v>
      </c>
      <c r="T3">
        <v>2021</v>
      </c>
      <c r="U3">
        <v>2022</v>
      </c>
      <c r="V3">
        <v>2023</v>
      </c>
      <c r="W3">
        <v>2024</v>
      </c>
    </row>
    <row r="4" spans="1:23" x14ac:dyDescent="0.45">
      <c r="A4" s="13" t="s">
        <v>132</v>
      </c>
      <c r="C4" s="50" t="s">
        <v>133</v>
      </c>
      <c r="D4" s="50"/>
      <c r="E4" s="50"/>
      <c r="F4" s="50"/>
      <c r="G4" s="50"/>
      <c r="H4" s="50"/>
      <c r="I4" s="50"/>
      <c r="O4" s="14" t="s">
        <v>197</v>
      </c>
    </row>
    <row r="5" spans="1:23" x14ac:dyDescent="0.45">
      <c r="A5" s="6" t="s">
        <v>134</v>
      </c>
      <c r="B5" s="6"/>
      <c r="C5" s="6"/>
      <c r="P5" t="s">
        <v>198</v>
      </c>
      <c r="R5">
        <f t="shared" ref="R5:W5" si="0">D36/D22</f>
        <v>0.61655198487712659</v>
      </c>
      <c r="S5">
        <f t="shared" si="0"/>
        <v>0.64336529910832319</v>
      </c>
      <c r="T5">
        <f t="shared" si="0"/>
        <v>0.3153176675369887</v>
      </c>
      <c r="U5">
        <f t="shared" si="0"/>
        <v>0.40258980958706964</v>
      </c>
      <c r="V5">
        <f t="shared" si="0"/>
        <v>0.33612411062171776</v>
      </c>
      <c r="W5">
        <f t="shared" si="0"/>
        <v>0.36313121106033242</v>
      </c>
    </row>
    <row r="6" spans="1:23" x14ac:dyDescent="0.45">
      <c r="A6" t="s">
        <v>135</v>
      </c>
      <c r="D6">
        <v>423.46</v>
      </c>
      <c r="E6">
        <v>551.75</v>
      </c>
      <c r="F6" s="12">
        <v>1090.47</v>
      </c>
      <c r="G6" s="12">
        <v>1446.64</v>
      </c>
      <c r="H6" s="12">
        <v>2111.1999999999998</v>
      </c>
      <c r="I6" s="12">
        <v>2226.62</v>
      </c>
      <c r="P6" t="s">
        <v>199</v>
      </c>
      <c r="R6">
        <f t="shared" ref="R6:W6" si="1">D38/D22</f>
        <v>0.38344801512287335</v>
      </c>
      <c r="S6">
        <f t="shared" si="1"/>
        <v>0.35663470089167687</v>
      </c>
      <c r="T6">
        <f t="shared" si="1"/>
        <v>0.68468233246301136</v>
      </c>
      <c r="U6">
        <f t="shared" si="1"/>
        <v>0.59741019041293031</v>
      </c>
      <c r="V6">
        <f t="shared" si="1"/>
        <v>0.66387588937828224</v>
      </c>
      <c r="W6">
        <f t="shared" si="1"/>
        <v>0.63686878893966747</v>
      </c>
    </row>
    <row r="7" spans="1:23" x14ac:dyDescent="0.45">
      <c r="F7" s="12"/>
      <c r="G7" s="12"/>
      <c r="H7" s="12"/>
      <c r="I7" s="12"/>
      <c r="P7" t="s">
        <v>200</v>
      </c>
      <c r="R7">
        <f t="shared" ref="R7:W7" si="2">D6/D24</f>
        <v>1.2476356029580742</v>
      </c>
      <c r="S7">
        <f t="shared" si="2"/>
        <v>1.1169254438348954</v>
      </c>
      <c r="T7">
        <f t="shared" si="2"/>
        <v>2.5926533523537802</v>
      </c>
      <c r="U7">
        <f t="shared" si="2"/>
        <v>2.4310825799079088</v>
      </c>
      <c r="V7">
        <f t="shared" si="2"/>
        <v>2.6038480513073505</v>
      </c>
      <c r="W7">
        <f t="shared" si="2"/>
        <v>1.6929639147823177</v>
      </c>
    </row>
    <row r="8" spans="1:23" x14ac:dyDescent="0.45">
      <c r="B8" t="s">
        <v>136</v>
      </c>
      <c r="D8">
        <v>7.06</v>
      </c>
      <c r="E8">
        <v>26.83</v>
      </c>
      <c r="F8">
        <v>295.70999999999998</v>
      </c>
      <c r="G8">
        <v>209.71</v>
      </c>
      <c r="H8">
        <v>629.91999999999996</v>
      </c>
      <c r="I8">
        <v>354.43</v>
      </c>
    </row>
    <row r="9" spans="1:23" x14ac:dyDescent="0.45">
      <c r="B9" t="s">
        <v>137</v>
      </c>
      <c r="D9">
        <v>120.59</v>
      </c>
      <c r="E9">
        <v>129.49</v>
      </c>
      <c r="F9">
        <v>205.49</v>
      </c>
      <c r="G9">
        <v>280.10000000000002</v>
      </c>
      <c r="H9">
        <v>415.08</v>
      </c>
      <c r="I9">
        <v>579.39</v>
      </c>
    </row>
    <row r="10" spans="1:23" x14ac:dyDescent="0.45">
      <c r="B10" t="s">
        <v>138</v>
      </c>
      <c r="D10">
        <v>195.37</v>
      </c>
      <c r="E10">
        <v>297.04000000000002</v>
      </c>
      <c r="F10">
        <v>492.22</v>
      </c>
      <c r="G10">
        <v>863.19</v>
      </c>
      <c r="H10">
        <v>931.47</v>
      </c>
      <c r="I10" s="12">
        <v>1055.32</v>
      </c>
    </row>
    <row r="11" spans="1:23" x14ac:dyDescent="0.45">
      <c r="B11" t="s">
        <v>139</v>
      </c>
      <c r="D11">
        <v>100.44</v>
      </c>
      <c r="E11">
        <v>98.39</v>
      </c>
      <c r="F11">
        <v>97.05</v>
      </c>
      <c r="G11">
        <v>93.64</v>
      </c>
      <c r="H11">
        <v>134.72999999999999</v>
      </c>
      <c r="I11">
        <v>237.48</v>
      </c>
    </row>
    <row r="12" spans="1:23" x14ac:dyDescent="0.45">
      <c r="A12" s="11" t="s">
        <v>140</v>
      </c>
    </row>
    <row r="13" spans="1:23" x14ac:dyDescent="0.45">
      <c r="A13" t="s">
        <v>141</v>
      </c>
      <c r="D13">
        <v>899.04</v>
      </c>
      <c r="E13" s="12">
        <v>1112.53</v>
      </c>
      <c r="F13" s="12">
        <v>1207.53</v>
      </c>
      <c r="G13" s="12">
        <v>1443.92</v>
      </c>
      <c r="H13" s="12">
        <v>1666.72</v>
      </c>
      <c r="I13" s="12">
        <v>2375.0500000000002</v>
      </c>
    </row>
    <row r="14" spans="1:23" x14ac:dyDescent="0.45">
      <c r="E14" s="12"/>
      <c r="F14" s="12"/>
      <c r="G14" s="12"/>
      <c r="H14" s="12"/>
      <c r="I14" s="12"/>
    </row>
    <row r="15" spans="1:23" x14ac:dyDescent="0.45">
      <c r="B15" t="s">
        <v>142</v>
      </c>
      <c r="D15">
        <v>0</v>
      </c>
      <c r="E15">
        <v>0</v>
      </c>
      <c r="F15">
        <v>0</v>
      </c>
      <c r="G15">
        <v>0</v>
      </c>
      <c r="H15">
        <v>0</v>
      </c>
      <c r="I15">
        <v>0</v>
      </c>
    </row>
    <row r="16" spans="1:23" x14ac:dyDescent="0.45">
      <c r="B16" t="s">
        <v>143</v>
      </c>
      <c r="D16">
        <v>871.51</v>
      </c>
      <c r="E16" s="12">
        <v>1078.29</v>
      </c>
      <c r="F16" s="12">
        <v>1158.28</v>
      </c>
      <c r="G16" s="12">
        <v>1245.94</v>
      </c>
      <c r="H16" s="12">
        <v>1414.37</v>
      </c>
      <c r="I16" s="12">
        <v>1987.55</v>
      </c>
    </row>
    <row r="17" spans="1:23" x14ac:dyDescent="0.45">
      <c r="B17" t="s">
        <v>144</v>
      </c>
      <c r="D17">
        <v>0</v>
      </c>
      <c r="E17">
        <v>0</v>
      </c>
      <c r="F17">
        <v>0</v>
      </c>
      <c r="G17">
        <v>0</v>
      </c>
      <c r="H17">
        <v>123.21</v>
      </c>
      <c r="I17">
        <v>123.21</v>
      </c>
    </row>
    <row r="18" spans="1:23" x14ac:dyDescent="0.45">
      <c r="B18" t="s">
        <v>145</v>
      </c>
      <c r="D18">
        <v>0.4</v>
      </c>
      <c r="E18">
        <v>0.4</v>
      </c>
      <c r="F18">
        <v>0.02</v>
      </c>
      <c r="G18">
        <v>148.82</v>
      </c>
      <c r="H18">
        <v>1.42</v>
      </c>
      <c r="I18">
        <v>1.45</v>
      </c>
    </row>
    <row r="19" spans="1:23" x14ac:dyDescent="0.45">
      <c r="B19" t="s">
        <v>146</v>
      </c>
      <c r="D19">
        <v>0</v>
      </c>
      <c r="E19">
        <v>0</v>
      </c>
      <c r="F19">
        <v>0</v>
      </c>
      <c r="G19">
        <v>0</v>
      </c>
      <c r="H19">
        <v>0</v>
      </c>
      <c r="I19">
        <v>0</v>
      </c>
    </row>
    <row r="20" spans="1:23" x14ac:dyDescent="0.45">
      <c r="B20" t="s">
        <v>147</v>
      </c>
      <c r="D20">
        <v>27.13</v>
      </c>
      <c r="E20">
        <v>33.840000000000003</v>
      </c>
      <c r="F20">
        <v>49.23</v>
      </c>
      <c r="G20">
        <v>49.16</v>
      </c>
      <c r="H20">
        <v>127.73</v>
      </c>
      <c r="I20">
        <v>262.85000000000002</v>
      </c>
    </row>
    <row r="21" spans="1:23" x14ac:dyDescent="0.45">
      <c r="A21" s="11" t="s">
        <v>148</v>
      </c>
    </row>
    <row r="22" spans="1:23" x14ac:dyDescent="0.45">
      <c r="A22" t="s">
        <v>149</v>
      </c>
      <c r="D22" s="12">
        <v>1322.5</v>
      </c>
      <c r="E22" s="12">
        <v>1664.28</v>
      </c>
      <c r="F22" s="12">
        <v>2298</v>
      </c>
      <c r="G22" s="12">
        <v>2890.56</v>
      </c>
      <c r="H22" s="12">
        <v>3777.92</v>
      </c>
      <c r="I22" s="12">
        <v>4601.67</v>
      </c>
    </row>
    <row r="24" spans="1:23" x14ac:dyDescent="0.45">
      <c r="A24" t="s">
        <v>34</v>
      </c>
      <c r="D24">
        <v>339.41</v>
      </c>
      <c r="E24">
        <v>493.99</v>
      </c>
      <c r="F24">
        <v>420.6</v>
      </c>
      <c r="G24">
        <v>595.05999999999995</v>
      </c>
      <c r="H24">
        <v>810.8</v>
      </c>
      <c r="I24" s="12">
        <v>1315.22</v>
      </c>
    </row>
    <row r="25" spans="1:23" x14ac:dyDescent="0.45">
      <c r="I25" s="12"/>
    </row>
    <row r="26" spans="1:23" ht="14.45" customHeight="1" x14ac:dyDescent="0.45">
      <c r="B26" t="s">
        <v>150</v>
      </c>
      <c r="D26">
        <v>126.88</v>
      </c>
      <c r="E26">
        <v>183.02</v>
      </c>
      <c r="F26">
        <v>229.72</v>
      </c>
      <c r="G26">
        <v>246.63</v>
      </c>
      <c r="H26">
        <v>324.94</v>
      </c>
      <c r="I26">
        <v>437.13</v>
      </c>
      <c r="Q26" t="s">
        <v>196</v>
      </c>
      <c r="R26">
        <f t="shared" ref="R26:W26" si="3">R3</f>
        <v>2019</v>
      </c>
      <c r="S26">
        <f t="shared" si="3"/>
        <v>2020</v>
      </c>
      <c r="T26">
        <f t="shared" si="3"/>
        <v>2021</v>
      </c>
      <c r="U26">
        <f t="shared" si="3"/>
        <v>2022</v>
      </c>
      <c r="V26">
        <f t="shared" si="3"/>
        <v>2023</v>
      </c>
      <c r="W26">
        <f t="shared" si="3"/>
        <v>2024</v>
      </c>
    </row>
    <row r="27" spans="1:23" ht="28.5" x14ac:dyDescent="0.45">
      <c r="B27" t="s">
        <v>151</v>
      </c>
      <c r="D27">
        <v>0</v>
      </c>
      <c r="E27">
        <v>0</v>
      </c>
      <c r="F27">
        <v>0</v>
      </c>
      <c r="G27">
        <v>0</v>
      </c>
      <c r="H27">
        <v>0</v>
      </c>
      <c r="I27" s="12">
        <v>0</v>
      </c>
      <c r="O27" s="24" t="s">
        <v>799</v>
      </c>
    </row>
    <row r="28" spans="1:23" x14ac:dyDescent="0.45">
      <c r="B28" t="s">
        <v>152</v>
      </c>
      <c r="D28">
        <v>212.53</v>
      </c>
      <c r="E28">
        <v>310.97000000000003</v>
      </c>
      <c r="F28">
        <v>190.88</v>
      </c>
      <c r="G28">
        <v>348.43</v>
      </c>
      <c r="H28">
        <v>485.86</v>
      </c>
      <c r="I28">
        <v>878.09</v>
      </c>
      <c r="P28" t="s">
        <v>201</v>
      </c>
      <c r="R28">
        <f t="shared" ref="R28:W28" si="4">C81/C83</f>
        <v>2.4591479428071197</v>
      </c>
      <c r="S28">
        <f t="shared" si="4"/>
        <v>3.6989733059548251</v>
      </c>
      <c r="T28">
        <f t="shared" si="4"/>
        <v>2.5832965090587718</v>
      </c>
      <c r="U28">
        <f t="shared" si="4"/>
        <v>2.4591479428071197</v>
      </c>
      <c r="V28">
        <f t="shared" si="4"/>
        <v>8.1959130716834263</v>
      </c>
      <c r="W28">
        <f t="shared" si="4"/>
        <v>5.9101500159591449</v>
      </c>
    </row>
    <row r="29" spans="1:23" x14ac:dyDescent="0.45">
      <c r="A29" s="11" t="s">
        <v>140</v>
      </c>
    </row>
    <row r="30" spans="1:23" x14ac:dyDescent="0.45">
      <c r="A30" t="s">
        <v>153</v>
      </c>
      <c r="D30">
        <v>475.98</v>
      </c>
      <c r="E30">
        <v>576.75</v>
      </c>
      <c r="F30">
        <v>304</v>
      </c>
      <c r="G30">
        <v>568.65</v>
      </c>
      <c r="H30">
        <v>459.05</v>
      </c>
      <c r="I30">
        <v>355.79</v>
      </c>
    </row>
    <row r="32" spans="1:23" x14ac:dyDescent="0.45">
      <c r="B32" t="s">
        <v>154</v>
      </c>
      <c r="D32">
        <v>462.31</v>
      </c>
      <c r="E32">
        <v>524.73</v>
      </c>
      <c r="F32">
        <v>279.63</v>
      </c>
      <c r="G32">
        <v>513.98</v>
      </c>
      <c r="H32">
        <v>381.92</v>
      </c>
      <c r="I32">
        <v>237.92</v>
      </c>
    </row>
    <row r="33" spans="1:23" x14ac:dyDescent="0.45">
      <c r="B33" t="s">
        <v>155</v>
      </c>
      <c r="D33">
        <v>13.69</v>
      </c>
      <c r="E33">
        <v>19.079999999999998</v>
      </c>
      <c r="F33">
        <v>24.38</v>
      </c>
      <c r="G33">
        <v>54.65</v>
      </c>
      <c r="H33">
        <v>76.03</v>
      </c>
      <c r="I33">
        <v>116.39</v>
      </c>
    </row>
    <row r="34" spans="1:23" x14ac:dyDescent="0.45">
      <c r="B34" t="s">
        <v>156</v>
      </c>
      <c r="D34">
        <v>-0.02</v>
      </c>
      <c r="E34">
        <v>32.94</v>
      </c>
      <c r="F34">
        <v>-0.01</v>
      </c>
      <c r="G34">
        <v>0.02</v>
      </c>
      <c r="H34">
        <v>1.1000000000000001</v>
      </c>
      <c r="I34">
        <v>1.48</v>
      </c>
    </row>
    <row r="35" spans="1:23" x14ac:dyDescent="0.45">
      <c r="A35" s="11" t="s">
        <v>148</v>
      </c>
    </row>
    <row r="36" spans="1:23" x14ac:dyDescent="0.45">
      <c r="A36" t="s">
        <v>157</v>
      </c>
      <c r="D36">
        <v>815.39</v>
      </c>
      <c r="E36" s="12">
        <v>1070.74</v>
      </c>
      <c r="F36" s="12">
        <v>724.6</v>
      </c>
      <c r="G36" s="12">
        <v>1163.71</v>
      </c>
      <c r="H36" s="12">
        <v>1269.8499999999999</v>
      </c>
      <c r="I36" s="12">
        <v>1671.01</v>
      </c>
    </row>
    <row r="38" spans="1:23" x14ac:dyDescent="0.45">
      <c r="A38" t="s">
        <v>56</v>
      </c>
      <c r="D38">
        <v>507.11</v>
      </c>
      <c r="E38">
        <v>593.54</v>
      </c>
      <c r="F38" s="12">
        <v>1573.4</v>
      </c>
      <c r="G38" s="12">
        <v>1726.85</v>
      </c>
      <c r="H38" s="12">
        <v>2508.0700000000002</v>
      </c>
      <c r="I38" s="12">
        <v>2930.66</v>
      </c>
    </row>
    <row r="40" spans="1:23" x14ac:dyDescent="0.45">
      <c r="B40" t="s">
        <v>158</v>
      </c>
      <c r="D40">
        <v>74.63</v>
      </c>
      <c r="E40">
        <v>78.13</v>
      </c>
      <c r="F40">
        <v>99.92</v>
      </c>
      <c r="G40">
        <v>100.25</v>
      </c>
      <c r="H40">
        <v>107.47</v>
      </c>
      <c r="I40">
        <v>109.79</v>
      </c>
    </row>
    <row r="41" spans="1:23" x14ac:dyDescent="0.45">
      <c r="B41" t="s">
        <v>159</v>
      </c>
      <c r="D41">
        <v>210.88</v>
      </c>
      <c r="E41">
        <v>242.75</v>
      </c>
      <c r="F41" s="12">
        <v>1130.6500000000001</v>
      </c>
      <c r="G41" s="12">
        <v>1137.19</v>
      </c>
      <c r="H41" s="12">
        <v>1611.52</v>
      </c>
      <c r="I41" s="12">
        <v>1807.9</v>
      </c>
    </row>
    <row r="42" spans="1:23" x14ac:dyDescent="0.45">
      <c r="B42" t="s">
        <v>160</v>
      </c>
      <c r="D42">
        <v>221.6</v>
      </c>
      <c r="E42">
        <v>272.66000000000003</v>
      </c>
      <c r="F42">
        <v>342.83</v>
      </c>
      <c r="G42">
        <v>489.41</v>
      </c>
      <c r="H42">
        <v>653.6</v>
      </c>
      <c r="I42">
        <v>750.84</v>
      </c>
    </row>
    <row r="43" spans="1:23" x14ac:dyDescent="0.45">
      <c r="B43" t="s">
        <v>161</v>
      </c>
      <c r="D43">
        <v>0</v>
      </c>
      <c r="E43">
        <v>0</v>
      </c>
      <c r="F43">
        <v>0</v>
      </c>
      <c r="G43">
        <v>0</v>
      </c>
      <c r="H43">
        <v>135.47999999999999</v>
      </c>
      <c r="I43">
        <v>169.63</v>
      </c>
    </row>
    <row r="44" spans="1:23" x14ac:dyDescent="0.45">
      <c r="B44" t="s">
        <v>162</v>
      </c>
      <c r="D44">
        <v>0</v>
      </c>
      <c r="E44">
        <v>0</v>
      </c>
      <c r="F44">
        <v>0</v>
      </c>
      <c r="G44">
        <v>0</v>
      </c>
      <c r="H44">
        <v>0</v>
      </c>
      <c r="I44">
        <v>92.5</v>
      </c>
    </row>
    <row r="46" spans="1:23" x14ac:dyDescent="0.45">
      <c r="A46" t="s">
        <v>163</v>
      </c>
      <c r="D46" s="12">
        <v>1322.5</v>
      </c>
      <c r="E46" s="12">
        <v>1664.28</v>
      </c>
      <c r="F46" s="12">
        <v>2298</v>
      </c>
      <c r="G46" s="12">
        <v>2890.56</v>
      </c>
      <c r="H46" s="12">
        <v>3777.92</v>
      </c>
      <c r="I46" s="12">
        <v>4601.67</v>
      </c>
      <c r="O46" s="14" t="s">
        <v>202</v>
      </c>
    </row>
    <row r="47" spans="1:23" x14ac:dyDescent="0.45">
      <c r="Q47" t="s">
        <v>196</v>
      </c>
      <c r="R47">
        <f t="shared" ref="R47:W47" si="5">R26</f>
        <v>2019</v>
      </c>
      <c r="S47">
        <f t="shared" si="5"/>
        <v>2020</v>
      </c>
      <c r="T47">
        <f t="shared" si="5"/>
        <v>2021</v>
      </c>
      <c r="U47">
        <f t="shared" si="5"/>
        <v>2022</v>
      </c>
      <c r="V47">
        <f t="shared" si="5"/>
        <v>2023</v>
      </c>
      <c r="W47">
        <f t="shared" si="5"/>
        <v>2024</v>
      </c>
    </row>
    <row r="48" spans="1:23" x14ac:dyDescent="0.45">
      <c r="A48" t="s">
        <v>164</v>
      </c>
      <c r="D48">
        <v>5</v>
      </c>
      <c r="E48">
        <v>5</v>
      </c>
      <c r="F48">
        <v>9.99</v>
      </c>
      <c r="G48">
        <v>10.02</v>
      </c>
      <c r="H48">
        <v>10.75</v>
      </c>
      <c r="I48">
        <v>10.98</v>
      </c>
    </row>
    <row r="49" spans="1:23" x14ac:dyDescent="0.45">
      <c r="P49" t="s">
        <v>192</v>
      </c>
      <c r="R49">
        <f t="shared" ref="R49:W50" si="6">D92</f>
        <v>0</v>
      </c>
      <c r="S49">
        <f t="shared" si="6"/>
        <v>0</v>
      </c>
      <c r="T49">
        <f t="shared" si="6"/>
        <v>0.5</v>
      </c>
      <c r="U49">
        <f t="shared" si="6"/>
        <v>1</v>
      </c>
      <c r="V49">
        <f t="shared" si="6"/>
        <v>2.5</v>
      </c>
      <c r="W49">
        <f t="shared" si="6"/>
        <v>1.25</v>
      </c>
    </row>
    <row r="50" spans="1:23" x14ac:dyDescent="0.45">
      <c r="P50" t="s">
        <v>203</v>
      </c>
      <c r="R50">
        <f t="shared" si="6"/>
        <v>0</v>
      </c>
      <c r="S50">
        <f t="shared" si="6"/>
        <v>0</v>
      </c>
      <c r="T50">
        <f t="shared" si="6"/>
        <v>0.05</v>
      </c>
      <c r="U50">
        <f t="shared" si="6"/>
        <v>7.0000000000000007E-2</v>
      </c>
      <c r="V50">
        <f t="shared" si="6"/>
        <v>0.14000000000000001</v>
      </c>
      <c r="W50">
        <f t="shared" si="6"/>
        <v>0.11</v>
      </c>
    </row>
    <row r="51" spans="1:23" x14ac:dyDescent="0.45">
      <c r="A51" s="13" t="s">
        <v>165</v>
      </c>
      <c r="C51" s="50" t="s">
        <v>166</v>
      </c>
      <c r="D51" s="50"/>
      <c r="E51" s="50"/>
      <c r="F51" s="50"/>
      <c r="G51" s="50"/>
      <c r="H51" s="50"/>
      <c r="I51" s="50"/>
    </row>
    <row r="52" spans="1:23" x14ac:dyDescent="0.45">
      <c r="A52" s="6" t="s">
        <v>134</v>
      </c>
    </row>
    <row r="54" spans="1:23" x14ac:dyDescent="0.45">
      <c r="A54" t="s">
        <v>167</v>
      </c>
      <c r="C54">
        <v>-0.55000000000000004</v>
      </c>
      <c r="D54">
        <v>-5.56</v>
      </c>
      <c r="E54">
        <v>18.61</v>
      </c>
      <c r="F54">
        <v>224.15</v>
      </c>
      <c r="G54">
        <v>-198.91</v>
      </c>
      <c r="H54">
        <v>140.06</v>
      </c>
      <c r="I54">
        <v>61.99</v>
      </c>
    </row>
    <row r="56" spans="1:23" x14ac:dyDescent="0.45">
      <c r="B56" t="s">
        <v>168</v>
      </c>
      <c r="C56">
        <v>-20.260000000000002</v>
      </c>
      <c r="D56">
        <v>38.92</v>
      </c>
      <c r="E56">
        <v>94.94</v>
      </c>
      <c r="F56">
        <v>1.46</v>
      </c>
      <c r="G56">
        <v>-171.23</v>
      </c>
      <c r="H56">
        <v>292.07</v>
      </c>
      <c r="I56">
        <v>59.03</v>
      </c>
    </row>
    <row r="57" spans="1:23" x14ac:dyDescent="0.45">
      <c r="B57" t="s">
        <v>169</v>
      </c>
      <c r="C57">
        <v>-255.13</v>
      </c>
      <c r="D57">
        <v>-250.22</v>
      </c>
      <c r="E57">
        <v>-178.2</v>
      </c>
      <c r="F57">
        <v>-193.08</v>
      </c>
      <c r="G57">
        <v>-412.04</v>
      </c>
      <c r="H57">
        <v>-522.66</v>
      </c>
      <c r="I57">
        <v>-392.11</v>
      </c>
    </row>
    <row r="58" spans="1:23" x14ac:dyDescent="0.45">
      <c r="B58" t="s">
        <v>170</v>
      </c>
      <c r="C58">
        <v>274.83999999999997</v>
      </c>
      <c r="D58">
        <v>205.74</v>
      </c>
      <c r="E58">
        <v>101.87</v>
      </c>
      <c r="F58">
        <v>415.77</v>
      </c>
      <c r="G58">
        <v>384.36</v>
      </c>
      <c r="H58">
        <v>370.65</v>
      </c>
      <c r="I58">
        <v>395.07</v>
      </c>
    </row>
    <row r="60" spans="1:23" x14ac:dyDescent="0.45">
      <c r="A60" t="s">
        <v>171</v>
      </c>
      <c r="C60">
        <v>-102.24</v>
      </c>
      <c r="D60">
        <v>-70.62</v>
      </c>
      <c r="E60">
        <v>-57.66</v>
      </c>
      <c r="F60">
        <v>-218.19</v>
      </c>
      <c r="G60">
        <v>-477.33</v>
      </c>
      <c r="H60">
        <v>-164.94</v>
      </c>
      <c r="I60">
        <v>-329.32</v>
      </c>
    </row>
    <row r="62" spans="1:23" x14ac:dyDescent="0.45">
      <c r="A62" t="s">
        <v>172</v>
      </c>
      <c r="C62">
        <v>255.61</v>
      </c>
      <c r="D62">
        <v>248.27</v>
      </c>
      <c r="E62">
        <v>180.39</v>
      </c>
      <c r="F62">
        <v>146.02000000000001</v>
      </c>
      <c r="G62">
        <v>146.86000000000001</v>
      </c>
      <c r="H62">
        <v>220.77</v>
      </c>
      <c r="I62">
        <v>715.99</v>
      </c>
    </row>
    <row r="64" spans="1:23" x14ac:dyDescent="0.45">
      <c r="A64" t="s">
        <v>173</v>
      </c>
      <c r="C64">
        <v>-275.87</v>
      </c>
      <c r="D64">
        <v>-209.35</v>
      </c>
      <c r="E64">
        <v>-85.45</v>
      </c>
      <c r="F64">
        <v>-144.56</v>
      </c>
      <c r="G64">
        <v>-318.08999999999997</v>
      </c>
      <c r="H64">
        <v>71.3</v>
      </c>
      <c r="I64">
        <v>-656.96</v>
      </c>
    </row>
    <row r="66" spans="1:23" x14ac:dyDescent="0.45">
      <c r="A66" s="13" t="s">
        <v>174</v>
      </c>
      <c r="C66" s="50" t="s">
        <v>175</v>
      </c>
      <c r="D66" s="50"/>
      <c r="E66" s="50"/>
      <c r="F66" s="50"/>
      <c r="G66" s="50"/>
      <c r="H66" s="50"/>
      <c r="I66" s="50"/>
      <c r="J66" t="s">
        <v>176</v>
      </c>
    </row>
    <row r="67" spans="1:23" x14ac:dyDescent="0.45">
      <c r="A67" s="6" t="s">
        <v>134</v>
      </c>
    </row>
    <row r="68" spans="1:23" x14ac:dyDescent="0.45">
      <c r="O68" s="48" t="s">
        <v>800</v>
      </c>
      <c r="P68" s="48"/>
      <c r="Q68" s="48"/>
      <c r="R68" s="48"/>
      <c r="S68" s="48"/>
      <c r="T68" s="48"/>
      <c r="U68" s="48"/>
      <c r="V68" s="48"/>
      <c r="W68" s="48"/>
    </row>
    <row r="69" spans="1:23" x14ac:dyDescent="0.45">
      <c r="A69" t="s">
        <v>177</v>
      </c>
      <c r="C69">
        <v>837.5</v>
      </c>
      <c r="D69">
        <v>520.96</v>
      </c>
      <c r="E69">
        <v>539.76</v>
      </c>
      <c r="F69">
        <v>837.5</v>
      </c>
      <c r="G69" s="12">
        <v>1081.76</v>
      </c>
      <c r="H69" s="12">
        <v>1611.95</v>
      </c>
      <c r="I69" s="12">
        <v>1505.32</v>
      </c>
      <c r="J69" s="12">
        <v>1267.1199999999999</v>
      </c>
    </row>
    <row r="70" spans="1:23" x14ac:dyDescent="0.45">
      <c r="J70">
        <v>939.33</v>
      </c>
    </row>
    <row r="71" spans="1:23" x14ac:dyDescent="0.45">
      <c r="A71" s="11" t="s">
        <v>178</v>
      </c>
      <c r="B71" t="s">
        <v>179</v>
      </c>
      <c r="C71">
        <v>0</v>
      </c>
      <c r="D71">
        <v>263.48</v>
      </c>
      <c r="E71">
        <v>296.16000000000003</v>
      </c>
      <c r="F71">
        <v>469.36</v>
      </c>
      <c r="G71">
        <v>691.7</v>
      </c>
      <c r="H71">
        <v>767.59</v>
      </c>
      <c r="I71">
        <v>693.14</v>
      </c>
      <c r="J71">
        <v>0</v>
      </c>
    </row>
    <row r="72" spans="1:23" x14ac:dyDescent="0.45">
      <c r="A72" s="11" t="s">
        <v>178</v>
      </c>
      <c r="B72" t="s">
        <v>180</v>
      </c>
      <c r="C72">
        <v>0</v>
      </c>
      <c r="D72">
        <v>0</v>
      </c>
      <c r="E72">
        <v>0</v>
      </c>
      <c r="F72">
        <v>0</v>
      </c>
      <c r="G72">
        <v>0</v>
      </c>
      <c r="H72">
        <v>0.77</v>
      </c>
      <c r="I72">
        <v>1.17</v>
      </c>
      <c r="J72">
        <v>0</v>
      </c>
    </row>
    <row r="73" spans="1:23" x14ac:dyDescent="0.45">
      <c r="A73" s="11" t="s">
        <v>178</v>
      </c>
      <c r="B73" t="s">
        <v>181</v>
      </c>
      <c r="C73">
        <v>617.29999999999995</v>
      </c>
      <c r="D73">
        <v>18.59</v>
      </c>
      <c r="E73">
        <v>21.09</v>
      </c>
      <c r="F73">
        <v>32.44</v>
      </c>
      <c r="G73">
        <v>48.5</v>
      </c>
      <c r="H73">
        <v>68.900000000000006</v>
      </c>
      <c r="I73">
        <v>75.14</v>
      </c>
      <c r="J73">
        <v>0</v>
      </c>
    </row>
    <row r="74" spans="1:23" x14ac:dyDescent="0.45">
      <c r="A74" s="11" t="s">
        <v>178</v>
      </c>
      <c r="B74" t="s">
        <v>182</v>
      </c>
      <c r="C74">
        <v>0</v>
      </c>
      <c r="D74">
        <v>26.92</v>
      </c>
      <c r="E74">
        <v>28.87</v>
      </c>
      <c r="F74">
        <v>37.11</v>
      </c>
      <c r="G74">
        <v>56.2</v>
      </c>
      <c r="H74">
        <v>80.58</v>
      </c>
      <c r="I74">
        <v>86.67</v>
      </c>
      <c r="J74">
        <v>0</v>
      </c>
    </row>
    <row r="75" spans="1:23" x14ac:dyDescent="0.45">
      <c r="A75" s="11" t="s">
        <v>178</v>
      </c>
      <c r="B75" t="s">
        <v>183</v>
      </c>
      <c r="C75">
        <v>0</v>
      </c>
      <c r="D75">
        <v>99.37</v>
      </c>
      <c r="E75">
        <v>48.01</v>
      </c>
      <c r="F75">
        <v>78.39</v>
      </c>
      <c r="G75">
        <v>-27.44</v>
      </c>
      <c r="H75">
        <v>252.7</v>
      </c>
      <c r="I75">
        <v>238.29</v>
      </c>
      <c r="J75">
        <v>0</v>
      </c>
    </row>
    <row r="76" spans="1:23" x14ac:dyDescent="0.45">
      <c r="A76" s="11" t="s">
        <v>148</v>
      </c>
    </row>
    <row r="77" spans="1:23" x14ac:dyDescent="0.45">
      <c r="A77" t="s">
        <v>184</v>
      </c>
      <c r="C77">
        <v>220.2</v>
      </c>
      <c r="D77">
        <v>112.6</v>
      </c>
      <c r="E77">
        <v>145.63</v>
      </c>
      <c r="F77">
        <v>220.2</v>
      </c>
      <c r="G77">
        <v>312.8</v>
      </c>
      <c r="H77">
        <v>441.41</v>
      </c>
      <c r="I77">
        <v>410.91</v>
      </c>
      <c r="J77">
        <v>327.79</v>
      </c>
    </row>
    <row r="78" spans="1:23" x14ac:dyDescent="0.45">
      <c r="A78" s="11" t="s">
        <v>814</v>
      </c>
      <c r="C78">
        <f>C77/C69</f>
        <v>0.26292537313432834</v>
      </c>
      <c r="D78">
        <f>D77/D69</f>
        <v>0.21613943488943485</v>
      </c>
      <c r="E78">
        <f>E77/E69</f>
        <v>0.26980509856232399</v>
      </c>
      <c r="F78">
        <f>F77/F69</f>
        <v>0.26292537313432834</v>
      </c>
      <c r="G78">
        <f>G77/G69</f>
        <v>0.28915840851944979</v>
      </c>
      <c r="H78">
        <f>H77/H69</f>
        <v>0.27383603709792487</v>
      </c>
      <c r="I78">
        <f>I77/I69</f>
        <v>0.27297185980389554</v>
      </c>
      <c r="J78">
        <f>J77/J69</f>
        <v>0.25868899551739383</v>
      </c>
    </row>
    <row r="79" spans="1:23" x14ac:dyDescent="0.45">
      <c r="A79" s="11" t="s">
        <v>178</v>
      </c>
      <c r="B79" t="s">
        <v>185</v>
      </c>
      <c r="C79">
        <v>51.65</v>
      </c>
      <c r="D79" s="12">
        <v>22.53</v>
      </c>
      <c r="E79" s="12">
        <v>28.71</v>
      </c>
      <c r="F79" s="12">
        <v>51.65</v>
      </c>
      <c r="G79" s="12">
        <v>60.12</v>
      </c>
      <c r="H79" s="12">
        <v>71.08</v>
      </c>
      <c r="I79" s="12">
        <v>79.7</v>
      </c>
      <c r="J79" s="12">
        <v>83.51</v>
      </c>
    </row>
    <row r="80" spans="1:23" x14ac:dyDescent="0.45">
      <c r="A80" s="11" t="s">
        <v>148</v>
      </c>
      <c r="D80" s="12"/>
      <c r="E80" s="12"/>
      <c r="F80" s="12"/>
      <c r="G80" s="12"/>
      <c r="H80" s="12"/>
      <c r="I80" s="12"/>
      <c r="J80" s="12"/>
    </row>
    <row r="81" spans="1:10" x14ac:dyDescent="0.45">
      <c r="A81" t="s">
        <v>186</v>
      </c>
      <c r="C81">
        <v>168.55</v>
      </c>
      <c r="D81">
        <v>90.07</v>
      </c>
      <c r="E81">
        <v>116.92</v>
      </c>
      <c r="F81">
        <v>168.55</v>
      </c>
      <c r="G81">
        <v>252.68</v>
      </c>
      <c r="H81">
        <v>370.33</v>
      </c>
      <c r="I81">
        <v>331.21</v>
      </c>
      <c r="J81">
        <v>244.28</v>
      </c>
    </row>
    <row r="82" spans="1:10" x14ac:dyDescent="0.45">
      <c r="A82" s="11" t="s">
        <v>815</v>
      </c>
      <c r="C82">
        <f>C81/C69</f>
        <v>0.20125373134328359</v>
      </c>
      <c r="D82">
        <f>D81/D69</f>
        <v>0.17289235257985255</v>
      </c>
      <c r="E82">
        <f>E81/E69</f>
        <v>0.21661479175930043</v>
      </c>
      <c r="F82">
        <f>F81/F69</f>
        <v>0.20125373134328359</v>
      </c>
      <c r="G82">
        <f>G81/G69</f>
        <v>0.23358231030912588</v>
      </c>
      <c r="H82">
        <f>H81/H69</f>
        <v>0.22974037656254845</v>
      </c>
      <c r="I82">
        <f>I81/I69</f>
        <v>0.22002630669890788</v>
      </c>
      <c r="J82">
        <f>J81/J69</f>
        <v>0.19278363533051332</v>
      </c>
    </row>
    <row r="83" spans="1:10" x14ac:dyDescent="0.45">
      <c r="A83" s="11" t="s">
        <v>178</v>
      </c>
      <c r="B83" t="s">
        <v>187</v>
      </c>
      <c r="C83">
        <v>68.540000000000006</v>
      </c>
      <c r="D83">
        <v>24.35</v>
      </c>
      <c r="E83">
        <v>45.26</v>
      </c>
      <c r="F83">
        <v>68.540000000000006</v>
      </c>
      <c r="G83">
        <v>30.83</v>
      </c>
      <c r="H83">
        <v>62.66</v>
      </c>
      <c r="I83">
        <v>89.43</v>
      </c>
      <c r="J83">
        <v>100.24</v>
      </c>
    </row>
    <row r="84" spans="1:10" x14ac:dyDescent="0.45">
      <c r="A84" s="11" t="s">
        <v>148</v>
      </c>
    </row>
    <row r="85" spans="1:10" x14ac:dyDescent="0.45">
      <c r="A85" t="s">
        <v>188</v>
      </c>
      <c r="C85">
        <v>100.01</v>
      </c>
      <c r="D85">
        <v>65.72</v>
      </c>
      <c r="E85">
        <v>71.66</v>
      </c>
      <c r="F85">
        <v>100.01</v>
      </c>
      <c r="G85">
        <v>221.85</v>
      </c>
      <c r="H85">
        <v>307.67</v>
      </c>
      <c r="I85">
        <v>241.78</v>
      </c>
      <c r="J85">
        <v>144.04</v>
      </c>
    </row>
    <row r="87" spans="1:10" x14ac:dyDescent="0.45">
      <c r="A87" s="11" t="s">
        <v>178</v>
      </c>
      <c r="B87" t="s">
        <v>189</v>
      </c>
      <c r="C87">
        <v>29.71</v>
      </c>
      <c r="D87">
        <v>16.47</v>
      </c>
      <c r="E87">
        <v>18.47</v>
      </c>
      <c r="F87">
        <v>29.71</v>
      </c>
      <c r="G87">
        <v>69.680000000000007</v>
      </c>
      <c r="H87">
        <v>126.82</v>
      </c>
      <c r="I87">
        <v>113.17</v>
      </c>
      <c r="J87">
        <v>74.150000000000006</v>
      </c>
    </row>
    <row r="88" spans="1:10" x14ac:dyDescent="0.45">
      <c r="A88" s="11" t="s">
        <v>148</v>
      </c>
    </row>
    <row r="89" spans="1:10" x14ac:dyDescent="0.45">
      <c r="A89" t="s">
        <v>190</v>
      </c>
      <c r="C89">
        <v>70.3</v>
      </c>
      <c r="D89">
        <v>49.25</v>
      </c>
      <c r="E89">
        <v>53.19</v>
      </c>
      <c r="F89">
        <v>70.3</v>
      </c>
      <c r="G89">
        <v>152.16999999999999</v>
      </c>
      <c r="H89">
        <v>180.85</v>
      </c>
      <c r="I89">
        <v>128.61000000000001</v>
      </c>
      <c r="J89">
        <v>69.89</v>
      </c>
    </row>
    <row r="90" spans="1:10" x14ac:dyDescent="0.45">
      <c r="A90" t="s">
        <v>816</v>
      </c>
      <c r="C90">
        <f>C89/C69</f>
        <v>8.394029850746268E-2</v>
      </c>
      <c r="D90">
        <f>D89/D69</f>
        <v>9.4537008599508587E-2</v>
      </c>
      <c r="E90">
        <f>E89/E69</f>
        <v>9.8543797243219211E-2</v>
      </c>
      <c r="F90">
        <f>F89/F69</f>
        <v>8.394029850746268E-2</v>
      </c>
      <c r="G90">
        <f>G89/G69</f>
        <v>0.14066890992456735</v>
      </c>
      <c r="H90">
        <f>H89/H69</f>
        <v>0.1121933062439902</v>
      </c>
      <c r="I90">
        <f>I89/I69</f>
        <v>8.5436983498525243E-2</v>
      </c>
      <c r="J90">
        <f>J89/J69</f>
        <v>5.5156575541385193E-2</v>
      </c>
    </row>
    <row r="91" spans="1:10" x14ac:dyDescent="0.45">
      <c r="A91" t="s">
        <v>191</v>
      </c>
      <c r="C91">
        <v>8.56</v>
      </c>
      <c r="D91">
        <v>9.85</v>
      </c>
      <c r="E91">
        <v>10.64</v>
      </c>
      <c r="F91">
        <v>9.3800000000000008</v>
      </c>
      <c r="G91">
        <v>15.2</v>
      </c>
      <c r="H91">
        <v>17.41</v>
      </c>
      <c r="I91">
        <v>11.84</v>
      </c>
      <c r="J91">
        <v>6.37</v>
      </c>
    </row>
    <row r="92" spans="1:10" x14ac:dyDescent="0.45">
      <c r="A92" t="s">
        <v>192</v>
      </c>
      <c r="C92">
        <v>0</v>
      </c>
      <c r="D92">
        <v>0</v>
      </c>
      <c r="E92">
        <v>0</v>
      </c>
      <c r="F92">
        <v>0.5</v>
      </c>
      <c r="G92">
        <v>1</v>
      </c>
      <c r="H92">
        <v>2.5</v>
      </c>
      <c r="I92">
        <v>1.25</v>
      </c>
      <c r="J92">
        <v>1.25</v>
      </c>
    </row>
    <row r="93" spans="1:10" x14ac:dyDescent="0.45">
      <c r="A93" t="s">
        <v>193</v>
      </c>
      <c r="C93">
        <v>0</v>
      </c>
      <c r="D93">
        <v>0</v>
      </c>
      <c r="E93">
        <v>0</v>
      </c>
      <c r="F93">
        <v>0.05</v>
      </c>
      <c r="G93">
        <v>7.0000000000000007E-2</v>
      </c>
      <c r="H93">
        <v>0.14000000000000001</v>
      </c>
      <c r="I93">
        <v>0.11</v>
      </c>
      <c r="J93">
        <v>0.2</v>
      </c>
    </row>
    <row r="95" spans="1:10" x14ac:dyDescent="0.45">
      <c r="A95" s="46" t="s">
        <v>194</v>
      </c>
      <c r="B95" s="46"/>
      <c r="C95" s="46"/>
      <c r="D95" s="46"/>
      <c r="E95" s="46"/>
      <c r="F95" s="46"/>
      <c r="G95" s="46"/>
      <c r="H95" s="46"/>
      <c r="I95" s="46"/>
      <c r="J95" s="46"/>
    </row>
  </sheetData>
  <mergeCells count="7">
    <mergeCell ref="A95:J95"/>
    <mergeCell ref="N1:W2"/>
    <mergeCell ref="O68:W68"/>
    <mergeCell ref="D1:I1"/>
    <mergeCell ref="C4:I4"/>
    <mergeCell ref="C51:I51"/>
    <mergeCell ref="C66:I66"/>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E2F46-0464-4647-A9C5-B09F01ABAFBB}">
  <dimension ref="A1:O75"/>
  <sheetViews>
    <sheetView topLeftCell="A50" workbookViewId="0">
      <selection activeCell="Q54" sqref="Q54"/>
    </sheetView>
  </sheetViews>
  <sheetFormatPr defaultRowHeight="14.25" x14ac:dyDescent="0.45"/>
  <cols>
    <col min="1" max="1" width="35.6640625" bestFit="1" customWidth="1"/>
    <col min="2" max="2" width="12.33203125" bestFit="1" customWidth="1"/>
    <col min="3" max="3" width="95.53125" bestFit="1" customWidth="1"/>
    <col min="4" max="4" width="30.33203125" bestFit="1" customWidth="1"/>
    <col min="9" max="9" width="9" customWidth="1"/>
    <col min="10" max="10" width="13.33203125" bestFit="1" customWidth="1"/>
    <col min="11" max="11" width="20.1328125" bestFit="1" customWidth="1"/>
    <col min="12" max="12" width="19" bestFit="1" customWidth="1"/>
    <col min="13" max="13" width="18.6640625" bestFit="1" customWidth="1"/>
    <col min="14" max="14" width="11.6640625" bestFit="1" customWidth="1"/>
    <col min="15" max="15" width="11.33203125" bestFit="1" customWidth="1"/>
  </cols>
  <sheetData>
    <row r="1" spans="1:11" ht="15" thickTop="1" thickBot="1" x14ac:dyDescent="0.5">
      <c r="A1" s="15" t="s">
        <v>204</v>
      </c>
      <c r="B1" s="16" t="s">
        <v>205</v>
      </c>
      <c r="C1" s="16" t="s">
        <v>206</v>
      </c>
    </row>
    <row r="2" spans="1:11" ht="14.65" thickTop="1" x14ac:dyDescent="0.45">
      <c r="A2" s="17" t="s">
        <v>207</v>
      </c>
      <c r="B2" s="17">
        <v>5</v>
      </c>
      <c r="C2" s="17" t="s">
        <v>208</v>
      </c>
    </row>
    <row r="3" spans="1:11" x14ac:dyDescent="0.45">
      <c r="A3" s="17" t="s">
        <v>209</v>
      </c>
      <c r="B3" s="17">
        <v>2</v>
      </c>
      <c r="C3" s="17" t="s">
        <v>210</v>
      </c>
    </row>
    <row r="4" spans="1:11" x14ac:dyDescent="0.45">
      <c r="A4" s="17" t="s">
        <v>211</v>
      </c>
      <c r="B4" s="17">
        <v>2</v>
      </c>
      <c r="C4" s="17" t="s">
        <v>212</v>
      </c>
    </row>
    <row r="5" spans="1:11" x14ac:dyDescent="0.45">
      <c r="A5" s="17" t="s">
        <v>213</v>
      </c>
      <c r="B5" s="17">
        <v>5</v>
      </c>
      <c r="C5" s="17" t="s">
        <v>214</v>
      </c>
    </row>
    <row r="6" spans="1:11" ht="28.5" x14ac:dyDescent="0.45">
      <c r="A6" s="17" t="s">
        <v>215</v>
      </c>
      <c r="B6" s="17">
        <v>3</v>
      </c>
      <c r="C6" s="20" t="s">
        <v>216</v>
      </c>
    </row>
    <row r="9" spans="1:11" x14ac:dyDescent="0.45">
      <c r="A9" s="18" t="s">
        <v>217</v>
      </c>
    </row>
    <row r="10" spans="1:11" ht="14.45" customHeight="1" x14ac:dyDescent="0.45">
      <c r="A10" s="26" t="s">
        <v>218</v>
      </c>
      <c r="C10" s="35" t="s">
        <v>219</v>
      </c>
      <c r="E10" t="str">
        <f>'Part-2 (Balance Sheet)'!Q3</f>
        <v>FY</v>
      </c>
      <c r="F10">
        <f>'Part-2 (Balance Sheet)'!R3</f>
        <v>2019</v>
      </c>
      <c r="G10">
        <f>'Part-2 (Balance Sheet)'!S3</f>
        <v>2020</v>
      </c>
      <c r="H10">
        <f>'Part-2 (Balance Sheet)'!T3</f>
        <v>2021</v>
      </c>
      <c r="I10">
        <f>'Part-2 (Balance Sheet)'!U3</f>
        <v>2022</v>
      </c>
      <c r="J10">
        <f>'Part-2 (Balance Sheet)'!V3</f>
        <v>2023</v>
      </c>
      <c r="K10">
        <f>'Part-2 (Balance Sheet)'!W3</f>
        <v>2024</v>
      </c>
    </row>
    <row r="11" spans="1:11" x14ac:dyDescent="0.45">
      <c r="C11" s="35"/>
      <c r="D11" t="str">
        <f>'Part-2 (Balance Sheet)'!P5</f>
        <v>Debt Ratio</v>
      </c>
      <c r="F11">
        <f>'Part-2 (Balance Sheet)'!R5</f>
        <v>0.61655198487712659</v>
      </c>
      <c r="G11">
        <f>'Part-2 (Balance Sheet)'!S5</f>
        <v>0.64336529910832319</v>
      </c>
      <c r="H11">
        <f>'Part-2 (Balance Sheet)'!T5</f>
        <v>0.3153176675369887</v>
      </c>
      <c r="I11">
        <f>'Part-2 (Balance Sheet)'!U5</f>
        <v>0.40258980958706964</v>
      </c>
      <c r="J11">
        <f>'Part-2 (Balance Sheet)'!V5</f>
        <v>0.33612411062171776</v>
      </c>
      <c r="K11">
        <f>'Part-2 (Balance Sheet)'!W5</f>
        <v>0.36313121106033242</v>
      </c>
    </row>
    <row r="12" spans="1:11" x14ac:dyDescent="0.45">
      <c r="C12" s="35"/>
      <c r="D12" t="str">
        <f>'Part-2 (Balance Sheet)'!P6</f>
        <v>Equity Ratio</v>
      </c>
      <c r="F12">
        <f>'Part-2 (Balance Sheet)'!R6</f>
        <v>0.38344801512287335</v>
      </c>
      <c r="G12">
        <f>'Part-2 (Balance Sheet)'!S6</f>
        <v>0.35663470089167687</v>
      </c>
      <c r="H12">
        <f>'Part-2 (Balance Sheet)'!T6</f>
        <v>0.68468233246301136</v>
      </c>
      <c r="I12">
        <f>'Part-2 (Balance Sheet)'!U6</f>
        <v>0.59741019041293031</v>
      </c>
      <c r="J12">
        <f>'Part-2 (Balance Sheet)'!V6</f>
        <v>0.66387588937828224</v>
      </c>
      <c r="K12">
        <f>'Part-2 (Balance Sheet)'!W6</f>
        <v>0.63686878893966747</v>
      </c>
    </row>
    <row r="13" spans="1:11" x14ac:dyDescent="0.45">
      <c r="D13" t="str">
        <f>'Part-2 (Balance Sheet)'!P7</f>
        <v>Current Ratio</v>
      </c>
      <c r="F13">
        <f>'Part-2 (Balance Sheet)'!R7</f>
        <v>1.2476356029580742</v>
      </c>
      <c r="G13">
        <f>'Part-2 (Balance Sheet)'!S7</f>
        <v>1.1169254438348954</v>
      </c>
      <c r="H13">
        <f>'Part-2 (Balance Sheet)'!T7</f>
        <v>2.5926533523537802</v>
      </c>
      <c r="I13">
        <f>'Part-2 (Balance Sheet)'!U7</f>
        <v>2.4310825799079088</v>
      </c>
      <c r="J13">
        <f>'Part-2 (Balance Sheet)'!V7</f>
        <v>2.6038480513073505</v>
      </c>
      <c r="K13">
        <f>'Part-2 (Balance Sheet)'!W7</f>
        <v>1.6929639147823177</v>
      </c>
    </row>
    <row r="14" spans="1:11" x14ac:dyDescent="0.45">
      <c r="D14" t="str">
        <f>'Part-2 (Balance Sheet)'!P28</f>
        <v>Interest Coverage Ratio</v>
      </c>
      <c r="F14">
        <f>'Part-2 (Balance Sheet)'!R28</f>
        <v>2.4591479428071197</v>
      </c>
      <c r="G14">
        <f>'Part-2 (Balance Sheet)'!S28</f>
        <v>3.6989733059548251</v>
      </c>
      <c r="H14">
        <f>'Part-2 (Balance Sheet)'!T28</f>
        <v>2.5832965090587718</v>
      </c>
      <c r="I14">
        <f>'Part-2 (Balance Sheet)'!U28</f>
        <v>2.4591479428071197</v>
      </c>
      <c r="J14">
        <f>'Part-2 (Balance Sheet)'!V28</f>
        <v>8.1959130716834263</v>
      </c>
      <c r="K14">
        <f>'Part-2 (Balance Sheet)'!W28</f>
        <v>5.9101500159591449</v>
      </c>
    </row>
    <row r="33" spans="1:15" x14ac:dyDescent="0.45">
      <c r="A33" s="26" t="s">
        <v>220</v>
      </c>
    </row>
    <row r="34" spans="1:15" x14ac:dyDescent="0.45">
      <c r="C34" s="35" t="s">
        <v>221</v>
      </c>
      <c r="E34" t="s">
        <v>222</v>
      </c>
      <c r="G34" t="s">
        <v>223</v>
      </c>
      <c r="H34" t="s">
        <v>224</v>
      </c>
      <c r="I34" t="s">
        <v>225</v>
      </c>
      <c r="J34" t="s">
        <v>226</v>
      </c>
      <c r="K34" t="s">
        <v>227</v>
      </c>
      <c r="L34" t="s">
        <v>228</v>
      </c>
      <c r="M34" t="s">
        <v>229</v>
      </c>
      <c r="N34" t="s">
        <v>230</v>
      </c>
      <c r="O34" t="s">
        <v>231</v>
      </c>
    </row>
    <row r="35" spans="1:15" x14ac:dyDescent="0.45">
      <c r="C35" s="30"/>
      <c r="D35" t="s">
        <v>232</v>
      </c>
    </row>
    <row r="37" spans="1:15" x14ac:dyDescent="0.45">
      <c r="D37" t="s">
        <v>233</v>
      </c>
      <c r="G37">
        <v>102</v>
      </c>
      <c r="H37">
        <v>7.69</v>
      </c>
      <c r="I37">
        <v>9.76</v>
      </c>
      <c r="J37">
        <v>0.08</v>
      </c>
      <c r="K37">
        <v>9.42</v>
      </c>
      <c r="L37">
        <v>3.31</v>
      </c>
      <c r="M37">
        <v>-18.8</v>
      </c>
      <c r="N37">
        <v>59.1</v>
      </c>
      <c r="O37" s="11" t="s">
        <v>178</v>
      </c>
    </row>
    <row r="38" spans="1:15" x14ac:dyDescent="0.45">
      <c r="D38" t="s">
        <v>234</v>
      </c>
      <c r="G38">
        <v>51.1</v>
      </c>
      <c r="H38">
        <v>13.8</v>
      </c>
      <c r="I38">
        <v>18.5</v>
      </c>
      <c r="J38">
        <v>0.38</v>
      </c>
      <c r="K38">
        <v>11</v>
      </c>
      <c r="L38">
        <v>2.31</v>
      </c>
      <c r="M38">
        <v>2.72</v>
      </c>
      <c r="N38">
        <v>5.98</v>
      </c>
      <c r="O38">
        <v>2.5499999999999998</v>
      </c>
    </row>
    <row r="39" spans="1:15" x14ac:dyDescent="0.45">
      <c r="D39" t="s">
        <v>235</v>
      </c>
      <c r="G39">
        <v>38.1</v>
      </c>
      <c r="H39">
        <v>32.299999999999997</v>
      </c>
      <c r="I39">
        <v>42.3</v>
      </c>
      <c r="J39">
        <v>2.06</v>
      </c>
      <c r="K39">
        <v>6.3</v>
      </c>
      <c r="L39">
        <v>13.3</v>
      </c>
      <c r="M39">
        <v>17.2</v>
      </c>
      <c r="N39">
        <v>26.8</v>
      </c>
      <c r="O39">
        <v>17.2</v>
      </c>
    </row>
    <row r="40" spans="1:15" x14ac:dyDescent="0.45">
      <c r="D40" t="s">
        <v>236</v>
      </c>
      <c r="G40">
        <v>76.2</v>
      </c>
      <c r="H40">
        <v>10.1</v>
      </c>
      <c r="I40">
        <v>10.4</v>
      </c>
      <c r="J40">
        <v>0.36</v>
      </c>
      <c r="K40">
        <v>15.7</v>
      </c>
      <c r="L40">
        <v>12.5</v>
      </c>
      <c r="M40">
        <v>9.35</v>
      </c>
      <c r="N40">
        <v>-2.2400000000000002</v>
      </c>
      <c r="O40">
        <v>9.3000000000000007</v>
      </c>
    </row>
    <row r="41" spans="1:15" x14ac:dyDescent="0.45">
      <c r="D41" t="s">
        <v>237</v>
      </c>
      <c r="G41">
        <v>40.799999999999997</v>
      </c>
      <c r="H41">
        <v>21.7</v>
      </c>
      <c r="I41">
        <v>29</v>
      </c>
      <c r="J41">
        <v>0.19</v>
      </c>
      <c r="K41">
        <v>13.3</v>
      </c>
      <c r="L41">
        <v>17.899999999999999</v>
      </c>
      <c r="M41">
        <v>23.3</v>
      </c>
      <c r="N41">
        <v>47.4</v>
      </c>
      <c r="O41">
        <v>23.3</v>
      </c>
    </row>
    <row r="42" spans="1:15" x14ac:dyDescent="0.45">
      <c r="D42" t="s">
        <v>238</v>
      </c>
      <c r="G42">
        <v>35.299999999999997</v>
      </c>
      <c r="H42">
        <v>8.2200000000000006</v>
      </c>
      <c r="I42">
        <v>7.47</v>
      </c>
      <c r="J42">
        <v>0.23</v>
      </c>
      <c r="K42">
        <v>8.86</v>
      </c>
      <c r="L42">
        <v>0.48</v>
      </c>
      <c r="M42">
        <v>-3.07</v>
      </c>
      <c r="N42">
        <v>-8.3000000000000007</v>
      </c>
      <c r="O42">
        <v>-3.92</v>
      </c>
    </row>
    <row r="43" spans="1:15" x14ac:dyDescent="0.45">
      <c r="D43" t="s">
        <v>239</v>
      </c>
      <c r="G43">
        <v>31.6</v>
      </c>
      <c r="H43">
        <v>16.8</v>
      </c>
      <c r="I43">
        <v>22.5</v>
      </c>
      <c r="J43">
        <v>1.3</v>
      </c>
      <c r="K43">
        <v>10.5</v>
      </c>
      <c r="L43">
        <v>37.6</v>
      </c>
      <c r="M43">
        <v>45.9</v>
      </c>
      <c r="N43">
        <v>-12</v>
      </c>
      <c r="O43">
        <v>46.7</v>
      </c>
    </row>
    <row r="45" spans="1:15" x14ac:dyDescent="0.45">
      <c r="F45" t="s">
        <v>240</v>
      </c>
      <c r="G45">
        <f>AVERAGE(G37:G43)</f>
        <v>53.585714285714289</v>
      </c>
      <c r="H45">
        <f t="shared" ref="H45:O45" si="0">AVERAGE(H37:H43)</f>
        <v>15.801428571428572</v>
      </c>
      <c r="I45">
        <f t="shared" si="0"/>
        <v>19.990000000000002</v>
      </c>
      <c r="J45">
        <f t="shared" si="0"/>
        <v>0.65714285714285714</v>
      </c>
      <c r="K45">
        <f t="shared" si="0"/>
        <v>10.725714285714286</v>
      </c>
      <c r="L45">
        <f t="shared" si="0"/>
        <v>12.485714285714286</v>
      </c>
      <c r="M45">
        <f t="shared" si="0"/>
        <v>10.942857142857141</v>
      </c>
      <c r="N45">
        <f t="shared" si="0"/>
        <v>16.677142857142854</v>
      </c>
      <c r="O45">
        <f t="shared" si="0"/>
        <v>15.854999999999999</v>
      </c>
    </row>
    <row r="47" spans="1:15" x14ac:dyDescent="0.45">
      <c r="D47" t="s">
        <v>241</v>
      </c>
      <c r="G47">
        <v>115</v>
      </c>
      <c r="H47">
        <v>5</v>
      </c>
      <c r="I47">
        <v>9</v>
      </c>
      <c r="J47">
        <v>0.17</v>
      </c>
      <c r="K47">
        <v>24.1</v>
      </c>
      <c r="L47">
        <v>29.2</v>
      </c>
      <c r="M47">
        <v>20.6</v>
      </c>
      <c r="N47">
        <v>17.600000000000001</v>
      </c>
      <c r="O47">
        <v>3.08</v>
      </c>
    </row>
    <row r="49" spans="1:3" x14ac:dyDescent="0.45">
      <c r="A49" s="26" t="s">
        <v>242</v>
      </c>
    </row>
    <row r="50" spans="1:3" ht="201.75" customHeight="1" x14ac:dyDescent="0.45">
      <c r="C50" t="s">
        <v>243</v>
      </c>
    </row>
    <row r="52" spans="1:3" x14ac:dyDescent="0.45">
      <c r="A52" s="26" t="s">
        <v>244</v>
      </c>
      <c r="C52" t="s">
        <v>245</v>
      </c>
    </row>
    <row r="54" spans="1:3" x14ac:dyDescent="0.45">
      <c r="A54" s="26" t="s">
        <v>246</v>
      </c>
    </row>
    <row r="55" spans="1:3" ht="101.45" customHeight="1" x14ac:dyDescent="0.45">
      <c r="C55" s="51" t="s">
        <v>247</v>
      </c>
    </row>
    <row r="56" spans="1:3" x14ac:dyDescent="0.45">
      <c r="C56" s="51"/>
    </row>
    <row r="57" spans="1:3" x14ac:dyDescent="0.45">
      <c r="C57" s="51"/>
    </row>
    <row r="58" spans="1:3" x14ac:dyDescent="0.45">
      <c r="C58" s="51"/>
    </row>
    <row r="59" spans="1:3" x14ac:dyDescent="0.45">
      <c r="C59" s="51"/>
    </row>
    <row r="60" spans="1:3" x14ac:dyDescent="0.45">
      <c r="C60" s="51"/>
    </row>
    <row r="61" spans="1:3" x14ac:dyDescent="0.45">
      <c r="C61" s="51"/>
    </row>
    <row r="62" spans="1:3" x14ac:dyDescent="0.45">
      <c r="C62" s="51"/>
    </row>
    <row r="63" spans="1:3" x14ac:dyDescent="0.45">
      <c r="C63" s="51"/>
    </row>
    <row r="64" spans="1:3" x14ac:dyDescent="0.45">
      <c r="C64" s="51"/>
    </row>
    <row r="65" spans="3:3" x14ac:dyDescent="0.45">
      <c r="C65" s="51"/>
    </row>
    <row r="66" spans="3:3" x14ac:dyDescent="0.45">
      <c r="C66" s="51"/>
    </row>
    <row r="67" spans="3:3" x14ac:dyDescent="0.45">
      <c r="C67" s="51"/>
    </row>
    <row r="68" spans="3:3" x14ac:dyDescent="0.45">
      <c r="C68" s="51"/>
    </row>
    <row r="69" spans="3:3" x14ac:dyDescent="0.45">
      <c r="C69" s="51"/>
    </row>
    <row r="70" spans="3:3" x14ac:dyDescent="0.45">
      <c r="C70" s="51"/>
    </row>
    <row r="71" spans="3:3" x14ac:dyDescent="0.45">
      <c r="C71" s="51"/>
    </row>
    <row r="72" spans="3:3" x14ac:dyDescent="0.45">
      <c r="C72" s="51"/>
    </row>
    <row r="73" spans="3:3" x14ac:dyDescent="0.45">
      <c r="C73" s="51"/>
    </row>
    <row r="74" spans="3:3" x14ac:dyDescent="0.45">
      <c r="C74" s="51"/>
    </row>
    <row r="75" spans="3:3" x14ac:dyDescent="0.45">
      <c r="C75" s="51"/>
    </row>
  </sheetData>
  <mergeCells count="3">
    <mergeCell ref="C10:C12"/>
    <mergeCell ref="C34:C35"/>
    <mergeCell ref="C55:C75"/>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D7DEE56-754B-4109-B948-0F7F58B1220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Group Members</vt:lpstr>
      <vt:lpstr>CAPM (Monthly) (Part-1)</vt:lpstr>
      <vt:lpstr>CAPM (Weekly) (Part-1)</vt:lpstr>
      <vt:lpstr>CAPM (Daily) (Part-1)</vt:lpstr>
      <vt:lpstr>Part-2 (Balance Sheet)</vt:lpstr>
      <vt:lpstr>Part-3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Anand Kashyap</dc:creator>
  <cp:keywords/>
  <dc:description/>
  <cp:lastModifiedBy>vishwamaggarwal27@gmail.com</cp:lastModifiedBy>
  <cp:revision/>
  <dcterms:created xsi:type="dcterms:W3CDTF">2024-07-06T03:48:05Z</dcterms:created>
  <dcterms:modified xsi:type="dcterms:W3CDTF">2024-12-06T15:49:02Z</dcterms:modified>
  <cp:category/>
  <cp:contentStatus/>
</cp:coreProperties>
</file>